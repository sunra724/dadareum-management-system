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청년재단\Desktop\이승현\2026 청년다다름사업\"/>
    </mc:Choice>
  </mc:AlternateContent>
  <xr:revisionPtr revIDLastSave="0" documentId="13_ncr:1_{0903EBC2-4665-4BE9-B72B-A4C8B3713B71}" xr6:coauthVersionLast="47" xr6:coauthVersionMax="47" xr10:uidLastSave="{00000000-0000-0000-0000-000000000000}"/>
  <bookViews>
    <workbookView xWindow="-120" yWindow="-120" windowWidth="29040" windowHeight="15720" tabRatio="933" firstSheet="1" activeTab="1" xr2:uid="{00000000-000D-0000-FFFF-FFFF00000000}"/>
  </bookViews>
  <sheets>
    <sheet name="드롭다운목록" sheetId="38" state="hidden" r:id="rId1"/>
    <sheet name="사업비 사용실적 명세서" sheetId="9" r:id="rId2"/>
    <sheet name="직접비-역량강화지원금" sheetId="37" r:id="rId3"/>
    <sheet name="참여청년현황" sheetId="47" r:id="rId4"/>
    <sheet name="간접비-보수" sheetId="42" r:id="rId5"/>
    <sheet name="간접비-일반운영비" sheetId="43" r:id="rId6"/>
    <sheet name="간접비-여비" sheetId="44" r:id="rId7"/>
    <sheet name="간접비-업무추진비" sheetId="45" r:id="rId8"/>
    <sheet name="간접비-기타직보수" sheetId="46" r:id="rId9"/>
    <sheet name="참고)비목별 세부집행기준" sheetId="36" r:id="rId10"/>
    <sheet name="증빙폴더 작성 방법" sheetId="48" r:id="rId11"/>
  </sheets>
  <externalReferences>
    <externalReference r:id="rId12"/>
  </externalReferences>
  <definedNames>
    <definedName name="_xlnm.Print_Area" localSheetId="8">'간접비-기타직보수'!$A$1:$K$39</definedName>
    <definedName name="_xlnm.Print_Area" localSheetId="4">'간접비-보수'!$A$1:$K$45</definedName>
    <definedName name="_xlnm.Print_Area" localSheetId="7">'간접비-업무추진비'!$A$2:$K$41</definedName>
    <definedName name="_xlnm.Print_Area" localSheetId="6">'간접비-여비'!$A$1:$J$39</definedName>
    <definedName name="_xlnm.Print_Area" localSheetId="5">'간접비-일반운영비'!$A$12:$L$163</definedName>
    <definedName name="_xlnm.Print_Area" localSheetId="1">'사업비 사용실적 명세서'!$B$2:$O$98</definedName>
    <definedName name="_xlnm.Print_Area" localSheetId="2">'직접비-역량강화지원금'!$A$1:$L$39</definedName>
    <definedName name="_xlnm.Print_Titles" localSheetId="8">'간접비-기타직보수'!$6:$6</definedName>
    <definedName name="_xlnm.Print_Titles" localSheetId="4">'간접비-보수'!$12:$12</definedName>
    <definedName name="_xlnm.Print_Titles" localSheetId="7">'간접비-업무추진비'!$8:$8</definedName>
    <definedName name="_xlnm.Print_Titles" localSheetId="6">'간접비-여비'!$6:$6</definedName>
    <definedName name="_xlnm.Print_Titles" localSheetId="5">'간접비-일반운영비'!$19:$19</definedName>
    <definedName name="_xlnm.Print_Titles" localSheetId="2">'직접비-역량강화지원금'!$6:$6</definedName>
    <definedName name="그룹세부구분">[1]기본!#REF!</definedName>
    <definedName name="그룹연구비">[1]기본!$G$4:$G$33</definedName>
    <definedName name="그룹전체">[1]기본!$A$4:$O$260</definedName>
    <definedName name="그룹총괄구분">[1]기본!#REF!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" i="47" l="1"/>
  <c r="J7" i="47"/>
  <c r="J8" i="47"/>
  <c r="J9" i="47"/>
  <c r="J10" i="47"/>
  <c r="J11" i="47"/>
  <c r="J12" i="47"/>
  <c r="J13" i="47"/>
  <c r="J14" i="47"/>
  <c r="J15" i="47"/>
  <c r="J16" i="47"/>
  <c r="J17" i="47"/>
  <c r="J18" i="47"/>
  <c r="J19" i="47"/>
  <c r="J20" i="47"/>
  <c r="J21" i="47"/>
  <c r="J22" i="47"/>
  <c r="J23" i="47"/>
  <c r="J24" i="47"/>
  <c r="J5" i="47"/>
  <c r="B9" i="37"/>
  <c r="B10" i="37"/>
  <c r="B11" i="37"/>
  <c r="B12" i="37"/>
  <c r="B13" i="37"/>
  <c r="B14" i="37"/>
  <c r="B15" i="37"/>
  <c r="B16" i="37"/>
  <c r="B17" i="37"/>
  <c r="B18" i="37"/>
  <c r="B19" i="37"/>
  <c r="B20" i="37"/>
  <c r="B21" i="37"/>
  <c r="B22" i="37"/>
  <c r="B23" i="37"/>
  <c r="B24" i="37"/>
  <c r="B25" i="37"/>
  <c r="B26" i="37"/>
  <c r="B27" i="37"/>
  <c r="B28" i="37"/>
  <c r="B29" i="37"/>
  <c r="B30" i="37"/>
  <c r="B31" i="37"/>
  <c r="B32" i="37"/>
  <c r="B33" i="37"/>
  <c r="B34" i="37"/>
  <c r="B35" i="37"/>
  <c r="B36" i="37"/>
  <c r="B37" i="37"/>
  <c r="B38" i="37"/>
  <c r="B39" i="37"/>
  <c r="B40" i="37"/>
  <c r="B41" i="37"/>
  <c r="B42" i="37"/>
  <c r="B43" i="37"/>
  <c r="B44" i="37"/>
  <c r="B45" i="37"/>
  <c r="B46" i="37"/>
  <c r="B47" i="37"/>
  <c r="B48" i="37"/>
  <c r="B49" i="37"/>
  <c r="B50" i="37"/>
  <c r="B51" i="37"/>
  <c r="B52" i="37"/>
  <c r="B53" i="37"/>
  <c r="B54" i="37"/>
  <c r="B55" i="37"/>
  <c r="B56" i="37"/>
  <c r="B57" i="37"/>
  <c r="B58" i="37"/>
  <c r="B59" i="37"/>
  <c r="B60" i="37"/>
  <c r="B61" i="37"/>
  <c r="B62" i="37"/>
  <c r="B63" i="37"/>
  <c r="B64" i="37"/>
  <c r="B65" i="37"/>
  <c r="B66" i="37"/>
  <c r="B67" i="37"/>
  <c r="B68" i="37"/>
  <c r="B69" i="37"/>
  <c r="B70" i="37"/>
  <c r="B71" i="37"/>
  <c r="B72" i="37"/>
  <c r="B73" i="37"/>
  <c r="B74" i="37"/>
  <c r="B75" i="37"/>
  <c r="B76" i="37"/>
  <c r="B77" i="37"/>
  <c r="B78" i="37"/>
  <c r="B79" i="37"/>
  <c r="B80" i="37"/>
  <c r="B81" i="37"/>
  <c r="B82" i="37"/>
  <c r="B83" i="37"/>
  <c r="B84" i="37"/>
  <c r="B85" i="37"/>
  <c r="B86" i="37"/>
  <c r="B87" i="37"/>
  <c r="B88" i="37"/>
  <c r="B89" i="37"/>
  <c r="B90" i="37"/>
  <c r="B91" i="37"/>
  <c r="B92" i="37"/>
  <c r="B93" i="37"/>
  <c r="B94" i="37"/>
  <c r="B95" i="37"/>
  <c r="B96" i="37"/>
  <c r="B97" i="37"/>
  <c r="B98" i="37"/>
  <c r="B99" i="37"/>
  <c r="B100" i="37"/>
  <c r="B101" i="37"/>
  <c r="B102" i="37"/>
  <c r="B103" i="37"/>
  <c r="B104" i="37"/>
  <c r="B105" i="37"/>
  <c r="B106" i="37"/>
  <c r="B107" i="37"/>
  <c r="B108" i="37"/>
  <c r="B109" i="37"/>
  <c r="B110" i="37"/>
  <c r="B111" i="37"/>
  <c r="B112" i="37"/>
  <c r="B113" i="37"/>
  <c r="B114" i="37"/>
  <c r="B115" i="37"/>
  <c r="B116" i="37"/>
  <c r="B117" i="37"/>
  <c r="B118" i="37"/>
  <c r="B119" i="37"/>
  <c r="B120" i="37"/>
  <c r="B121" i="37"/>
  <c r="B122" i="37"/>
  <c r="B123" i="37"/>
  <c r="B124" i="37"/>
  <c r="B125" i="37"/>
  <c r="B126" i="37"/>
  <c r="B127" i="37"/>
  <c r="B128" i="37"/>
  <c r="B129" i="37"/>
  <c r="B130" i="37"/>
  <c r="B131" i="37"/>
  <c r="B132" i="37"/>
  <c r="B133" i="37"/>
  <c r="B134" i="37"/>
  <c r="B135" i="37"/>
  <c r="B136" i="37"/>
  <c r="B137" i="37"/>
  <c r="B138" i="37"/>
  <c r="B139" i="37"/>
  <c r="B140" i="37"/>
  <c r="B141" i="37"/>
  <c r="B142" i="37"/>
  <c r="B143" i="37"/>
  <c r="B144" i="37"/>
  <c r="B145" i="37"/>
  <c r="B146" i="37"/>
  <c r="B147" i="37"/>
  <c r="B148" i="37"/>
  <c r="B149" i="37"/>
  <c r="B150" i="37"/>
  <c r="B151" i="37"/>
  <c r="B152" i="37"/>
  <c r="B153" i="37"/>
  <c r="B154" i="37"/>
  <c r="B155" i="37"/>
  <c r="B156" i="37"/>
  <c r="B157" i="37"/>
  <c r="B158" i="37"/>
  <c r="B159" i="37"/>
  <c r="B160" i="37"/>
  <c r="B161" i="37"/>
  <c r="B162" i="37"/>
  <c r="B163" i="37"/>
  <c r="B164" i="37"/>
  <c r="B165" i="37"/>
  <c r="B166" i="37"/>
  <c r="B167" i="37"/>
  <c r="B168" i="37"/>
  <c r="B169" i="37"/>
  <c r="B170" i="37"/>
  <c r="B171" i="37"/>
  <c r="B172" i="37"/>
  <c r="B173" i="37"/>
  <c r="B174" i="37"/>
  <c r="B175" i="37"/>
  <c r="B176" i="37"/>
  <c r="B177" i="37"/>
  <c r="B178" i="37"/>
  <c r="B179" i="37"/>
  <c r="B180" i="37"/>
  <c r="B181" i="37"/>
  <c r="B182" i="37"/>
  <c r="B183" i="37"/>
  <c r="B184" i="37"/>
  <c r="B185" i="37"/>
  <c r="B186" i="37"/>
  <c r="B187" i="37"/>
  <c r="B188" i="37"/>
  <c r="B189" i="37"/>
  <c r="B190" i="37"/>
  <c r="B191" i="37"/>
  <c r="B192" i="37"/>
  <c r="B193" i="37"/>
  <c r="B194" i="37"/>
  <c r="B195" i="37"/>
  <c r="B196" i="37"/>
  <c r="B197" i="37"/>
  <c r="B198" i="37"/>
  <c r="B199" i="37"/>
  <c r="B200" i="37"/>
  <c r="B201" i="37"/>
  <c r="B202" i="37"/>
  <c r="B203" i="37"/>
  <c r="B204" i="37"/>
  <c r="B205" i="37"/>
  <c r="B206" i="37"/>
  <c r="B207" i="37"/>
  <c r="B208" i="37"/>
  <c r="B209" i="37"/>
  <c r="B210" i="37"/>
  <c r="B211" i="37"/>
  <c r="B212" i="37"/>
  <c r="B213" i="37"/>
  <c r="B214" i="37"/>
  <c r="B215" i="37"/>
  <c r="B216" i="37"/>
  <c r="B217" i="37"/>
  <c r="B218" i="37"/>
  <c r="B219" i="37"/>
  <c r="B220" i="37"/>
  <c r="B221" i="37"/>
  <c r="B222" i="37"/>
  <c r="B223" i="37"/>
  <c r="B224" i="37"/>
  <c r="B225" i="37"/>
  <c r="B226" i="37"/>
  <c r="B227" i="37"/>
  <c r="B228" i="37"/>
  <c r="B229" i="37"/>
  <c r="B230" i="37"/>
  <c r="B231" i="37"/>
  <c r="B232" i="37"/>
  <c r="B233" i="37"/>
  <c r="B234" i="37"/>
  <c r="B235" i="37"/>
  <c r="B236" i="37"/>
  <c r="B237" i="37"/>
  <c r="B238" i="37"/>
  <c r="B239" i="37"/>
  <c r="B240" i="37"/>
  <c r="B241" i="37"/>
  <c r="B242" i="37"/>
  <c r="B243" i="37"/>
  <c r="B244" i="37"/>
  <c r="B245" i="37"/>
  <c r="B246" i="37"/>
  <c r="B247" i="37"/>
  <c r="B248" i="37"/>
  <c r="B249" i="37"/>
  <c r="B250" i="37"/>
  <c r="B251" i="37"/>
  <c r="B252" i="37"/>
  <c r="B253" i="37"/>
  <c r="B254" i="37"/>
  <c r="B255" i="37"/>
  <c r="B256" i="37"/>
  <c r="B257" i="37"/>
  <c r="B258" i="37"/>
  <c r="B259" i="37"/>
  <c r="B260" i="37"/>
  <c r="B261" i="37"/>
  <c r="B262" i="37"/>
  <c r="B263" i="37"/>
  <c r="B264" i="37"/>
  <c r="B265" i="37"/>
  <c r="B266" i="37"/>
  <c r="B267" i="37"/>
  <c r="B268" i="37"/>
  <c r="B269" i="37"/>
  <c r="B270" i="37"/>
  <c r="B271" i="37"/>
  <c r="B272" i="37"/>
  <c r="B273" i="37"/>
  <c r="B274" i="37"/>
  <c r="B275" i="37"/>
  <c r="B276" i="37"/>
  <c r="B277" i="37"/>
  <c r="B278" i="37"/>
  <c r="B279" i="37"/>
  <c r="B280" i="37"/>
  <c r="B281" i="37"/>
  <c r="B282" i="37"/>
  <c r="B283" i="37"/>
  <c r="B284" i="37"/>
  <c r="B285" i="37"/>
  <c r="B286" i="37"/>
  <c r="B287" i="37"/>
  <c r="B288" i="37"/>
  <c r="B289" i="37"/>
  <c r="B290" i="37"/>
  <c r="B291" i="37"/>
  <c r="B292" i="37"/>
  <c r="B293" i="37"/>
  <c r="B294" i="37"/>
  <c r="B295" i="37"/>
  <c r="B296" i="37"/>
  <c r="B297" i="37"/>
  <c r="B298" i="37"/>
  <c r="B299" i="37"/>
  <c r="B300" i="37"/>
  <c r="B301" i="37"/>
  <c r="B302" i="37"/>
  <c r="B303" i="37"/>
  <c r="B304" i="37"/>
  <c r="B305" i="37"/>
  <c r="B306" i="37"/>
  <c r="B307" i="37"/>
  <c r="B308" i="37"/>
  <c r="B309" i="37"/>
  <c r="B310" i="37"/>
  <c r="B311" i="37"/>
  <c r="B312" i="37"/>
  <c r="B313" i="37"/>
  <c r="B314" i="37"/>
  <c r="B315" i="37"/>
  <c r="B316" i="37"/>
  <c r="B317" i="37"/>
  <c r="B318" i="37"/>
  <c r="B319" i="37"/>
  <c r="B320" i="37"/>
  <c r="B8" i="37"/>
  <c r="F6" i="47"/>
  <c r="G6" i="47" s="1"/>
  <c r="F7" i="47"/>
  <c r="G7" i="47" s="1"/>
  <c r="F8" i="47"/>
  <c r="G8" i="47" s="1"/>
  <c r="F9" i="47"/>
  <c r="G9" i="47" s="1"/>
  <c r="F10" i="47"/>
  <c r="G10" i="47" s="1"/>
  <c r="F11" i="47"/>
  <c r="G11" i="47" s="1"/>
  <c r="F12" i="47"/>
  <c r="G12" i="47" s="1"/>
  <c r="F13" i="47"/>
  <c r="G13" i="47" s="1"/>
  <c r="F14" i="47"/>
  <c r="G14" i="47" s="1"/>
  <c r="F15" i="47"/>
  <c r="G15" i="47" s="1"/>
  <c r="F16" i="47"/>
  <c r="G16" i="47" s="1"/>
  <c r="F17" i="47"/>
  <c r="G17" i="47" s="1"/>
  <c r="F18" i="47"/>
  <c r="G18" i="47" s="1"/>
  <c r="F19" i="47"/>
  <c r="G19" i="47" s="1"/>
  <c r="F20" i="47"/>
  <c r="G20" i="47" s="1"/>
  <c r="F21" i="47"/>
  <c r="G21" i="47" s="1"/>
  <c r="F22" i="47"/>
  <c r="G22" i="47" s="1"/>
  <c r="F23" i="47"/>
  <c r="G23" i="47" s="1"/>
  <c r="F24" i="47"/>
  <c r="G24" i="47" s="1"/>
  <c r="F5" i="47"/>
  <c r="G5" i="47" s="1"/>
  <c r="E16" i="9"/>
  <c r="I7" i="46"/>
  <c r="J42" i="45"/>
  <c r="J43" i="45"/>
  <c r="J44" i="45"/>
  <c r="J45" i="45"/>
  <c r="J46" i="45"/>
  <c r="J47" i="45"/>
  <c r="J48" i="45"/>
  <c r="I9" i="45"/>
  <c r="H7" i="44"/>
  <c r="J4" i="43"/>
  <c r="J5" i="43"/>
  <c r="J6" i="43"/>
  <c r="J3" i="43"/>
  <c r="J20" i="43"/>
  <c r="J7" i="37"/>
  <c r="I13" i="42"/>
  <c r="J11" i="45"/>
  <c r="J12" i="45"/>
  <c r="J13" i="45"/>
  <c r="J14" i="45"/>
  <c r="J15" i="45"/>
  <c r="J16" i="45"/>
  <c r="J17" i="45"/>
  <c r="J18" i="45"/>
  <c r="J19" i="45"/>
  <c r="J20" i="45"/>
  <c r="J21" i="45"/>
  <c r="J22" i="45"/>
  <c r="J23" i="45"/>
  <c r="J24" i="45"/>
  <c r="J25" i="45"/>
  <c r="J26" i="45"/>
  <c r="J27" i="45"/>
  <c r="J28" i="45"/>
  <c r="J29" i="45"/>
  <c r="J30" i="45"/>
  <c r="J31" i="45"/>
  <c r="J32" i="45"/>
  <c r="J33" i="45"/>
  <c r="J34" i="45"/>
  <c r="J35" i="45"/>
  <c r="J36" i="45"/>
  <c r="J37" i="45"/>
  <c r="J38" i="45"/>
  <c r="J39" i="45"/>
  <c r="J40" i="45"/>
  <c r="J41" i="45"/>
  <c r="J10" i="45"/>
  <c r="G97" i="9"/>
  <c r="K18" i="9"/>
  <c r="M12" i="9"/>
  <c r="K9" i="9"/>
  <c r="K10" i="9"/>
  <c r="I96" i="9"/>
  <c r="K96" i="9" s="1"/>
  <c r="J97" i="9"/>
  <c r="K91" i="9"/>
  <c r="K92" i="9"/>
  <c r="I83" i="9"/>
  <c r="K83" i="9" s="1"/>
  <c r="I84" i="9"/>
  <c r="K84" i="9" s="1"/>
  <c r="I85" i="9"/>
  <c r="K85" i="9" s="1"/>
  <c r="I86" i="9"/>
  <c r="K12" i="9" s="1"/>
  <c r="I87" i="9"/>
  <c r="K13" i="9" s="1"/>
  <c r="I88" i="9"/>
  <c r="K15" i="9" s="1"/>
  <c r="I89" i="9"/>
  <c r="K16" i="9" s="1"/>
  <c r="I90" i="9"/>
  <c r="K90" i="9" s="1"/>
  <c r="I91" i="9"/>
  <c r="I92" i="9"/>
  <c r="K19" i="9" s="1"/>
  <c r="I93" i="9"/>
  <c r="K93" i="9" s="1"/>
  <c r="I94" i="9"/>
  <c r="K21" i="9" s="1"/>
  <c r="I95" i="9"/>
  <c r="K95" i="9" s="1"/>
  <c r="I82" i="9"/>
  <c r="K8" i="9" s="1"/>
  <c r="K53" i="9"/>
  <c r="J52" i="9"/>
  <c r="J51" i="9"/>
  <c r="J53" i="9" s="1"/>
  <c r="J12" i="9"/>
  <c r="K94" i="9" l="1"/>
  <c r="L12" i="47"/>
  <c r="M12" i="47" s="1"/>
  <c r="K89" i="9"/>
  <c r="L18" i="47"/>
  <c r="M18" i="47" s="1"/>
  <c r="L10" i="47"/>
  <c r="M10" i="47" s="1"/>
  <c r="L19" i="47"/>
  <c r="M19" i="47" s="1"/>
  <c r="L11" i="47"/>
  <c r="M11" i="47" s="1"/>
  <c r="L17" i="47"/>
  <c r="M17" i="47" s="1"/>
  <c r="L9" i="47"/>
  <c r="M9" i="47" s="1"/>
  <c r="L24" i="47"/>
  <c r="M24" i="47" s="1"/>
  <c r="L16" i="47"/>
  <c r="M16" i="47" s="1"/>
  <c r="L8" i="47"/>
  <c r="M8" i="47" s="1"/>
  <c r="L5" i="47"/>
  <c r="M5" i="47" s="1"/>
  <c r="L23" i="47"/>
  <c r="M23" i="47" s="1"/>
  <c r="L15" i="47"/>
  <c r="M15" i="47" s="1"/>
  <c r="L7" i="47"/>
  <c r="M7" i="47" s="1"/>
  <c r="L22" i="47"/>
  <c r="M22" i="47" s="1"/>
  <c r="L14" i="47"/>
  <c r="M14" i="47" s="1"/>
  <c r="L6" i="47"/>
  <c r="M6" i="47" s="1"/>
  <c r="L21" i="47"/>
  <c r="M21" i="47" s="1"/>
  <c r="L13" i="47"/>
  <c r="M13" i="47" s="1"/>
  <c r="L20" i="47"/>
  <c r="M20" i="47" s="1"/>
  <c r="F4" i="47"/>
  <c r="K88" i="9"/>
  <c r="K87" i="9"/>
  <c r="K23" i="9"/>
  <c r="K86" i="9"/>
  <c r="K22" i="9"/>
  <c r="K17" i="9"/>
  <c r="K11" i="9"/>
  <c r="K20" i="9"/>
  <c r="K82" i="9"/>
  <c r="I97" i="9"/>
  <c r="K97" i="9" s="1"/>
  <c r="K24" i="9" l="1"/>
  <c r="L4" i="47"/>
  <c r="E14" i="9"/>
  <c r="F20" i="9" l="1"/>
  <c r="E20" i="9"/>
  <c r="F19" i="9" l="1"/>
  <c r="E19" i="9"/>
  <c r="F18" i="9"/>
  <c r="E18" i="9"/>
  <c r="F17" i="9"/>
  <c r="E17" i="9"/>
  <c r="F16" i="9"/>
  <c r="I35" i="9"/>
  <c r="H15" i="43" s="1"/>
  <c r="I36" i="9"/>
  <c r="I15" i="43" s="1"/>
  <c r="I37" i="9"/>
  <c r="J15" i="43" s="1"/>
  <c r="F15" i="9"/>
  <c r="E15" i="9"/>
  <c r="I41" i="9" l="1"/>
  <c r="I38" i="9"/>
  <c r="I33" i="9"/>
  <c r="I15" i="9" s="1"/>
  <c r="J5" i="42" s="1"/>
  <c r="K5" i="42" s="1"/>
  <c r="J7" i="43"/>
  <c r="J8" i="43" s="1"/>
  <c r="I39" i="9"/>
  <c r="I34" i="9"/>
  <c r="I20" i="9" l="1"/>
  <c r="J3" i="46"/>
  <c r="K3" i="46" s="1"/>
  <c r="I18" i="9"/>
  <c r="J4" i="45"/>
  <c r="K4" i="45" s="1"/>
  <c r="I17" i="9"/>
  <c r="I3" i="44"/>
  <c r="J3" i="44" s="1"/>
  <c r="I16" i="9"/>
  <c r="G15" i="43"/>
  <c r="I8" i="9"/>
  <c r="G38" i="9"/>
  <c r="I14" i="9" l="1"/>
  <c r="K3" i="37"/>
  <c r="L3" i="37" s="1"/>
  <c r="I2" i="44"/>
  <c r="M38" i="9"/>
  <c r="J38" i="9"/>
  <c r="G16" i="9"/>
  <c r="G15" i="9"/>
  <c r="J16" i="9" l="1"/>
  <c r="M16" i="9"/>
  <c r="J15" i="9"/>
  <c r="M15" i="9"/>
  <c r="G44" i="9"/>
  <c r="G43" i="9"/>
  <c r="G42" i="9"/>
  <c r="G41" i="9"/>
  <c r="G40" i="9"/>
  <c r="G39" i="9"/>
  <c r="G37" i="9"/>
  <c r="G36" i="9"/>
  <c r="G35" i="9"/>
  <c r="G34" i="9"/>
  <c r="G33" i="9"/>
  <c r="G23" i="9"/>
  <c r="G22" i="9"/>
  <c r="G21" i="9"/>
  <c r="G20" i="9"/>
  <c r="G19" i="9"/>
  <c r="G18" i="9"/>
  <c r="G17" i="9"/>
  <c r="G13" i="9"/>
  <c r="G11" i="9"/>
  <c r="G10" i="9"/>
  <c r="G9" i="9"/>
  <c r="G8" i="9"/>
  <c r="M44" i="9" l="1"/>
  <c r="J44" i="9"/>
  <c r="J11" i="9"/>
  <c r="M11" i="9"/>
  <c r="M13" i="9"/>
  <c r="J13" i="9"/>
  <c r="M17" i="9"/>
  <c r="J17" i="9"/>
  <c r="I14" i="43"/>
  <c r="M36" i="9"/>
  <c r="J36" i="9"/>
  <c r="J4" i="42"/>
  <c r="M33" i="9"/>
  <c r="J33" i="9"/>
  <c r="M18" i="9"/>
  <c r="J18" i="9"/>
  <c r="K2" i="37"/>
  <c r="J8" i="9"/>
  <c r="M8" i="9"/>
  <c r="J23" i="9"/>
  <c r="M23" i="9"/>
  <c r="M42" i="9"/>
  <c r="J42" i="9"/>
  <c r="G14" i="43"/>
  <c r="J34" i="9"/>
  <c r="M34" i="9"/>
  <c r="H14" i="43"/>
  <c r="P14" i="43" s="1"/>
  <c r="J35" i="9"/>
  <c r="M35" i="9"/>
  <c r="G24" i="9"/>
  <c r="J14" i="43"/>
  <c r="M37" i="9"/>
  <c r="J37" i="9"/>
  <c r="J21" i="9"/>
  <c r="M21" i="9"/>
  <c r="J3" i="45"/>
  <c r="O4" i="45" s="1"/>
  <c r="J39" i="9"/>
  <c r="M39" i="9"/>
  <c r="J2" i="46"/>
  <c r="M41" i="9"/>
  <c r="J41" i="9"/>
  <c r="J43" i="9"/>
  <c r="M43" i="9"/>
  <c r="O3" i="45"/>
  <c r="M20" i="9"/>
  <c r="J20" i="9"/>
  <c r="M9" i="9"/>
  <c r="J9" i="9"/>
  <c r="J10" i="9"/>
  <c r="M10" i="9"/>
  <c r="J22" i="9"/>
  <c r="M22" i="9"/>
  <c r="J40" i="9"/>
  <c r="M40" i="9"/>
  <c r="K14" i="43" l="1"/>
  <c r="O5" i="45"/>
  <c r="O6" i="45" s="1"/>
  <c r="P13" i="43"/>
  <c r="P15" i="43" s="1"/>
  <c r="P16" i="43" s="1"/>
  <c r="E45" i="9"/>
  <c r="F45" i="9"/>
  <c r="G45" i="9" l="1"/>
  <c r="I19" i="9" l="1"/>
  <c r="M19" i="9" s="1"/>
  <c r="I24" i="9" l="1"/>
  <c r="J19" i="9"/>
  <c r="I16" i="43"/>
  <c r="I45" i="9"/>
  <c r="M45" i="9" l="1"/>
  <c r="J45" i="9"/>
  <c r="J24" i="9"/>
  <c r="M24" i="9"/>
  <c r="J4" i="46"/>
  <c r="I4" i="44"/>
  <c r="J6" i="42"/>
  <c r="J16" i="43"/>
  <c r="H16" i="43"/>
  <c r="J5" i="45" l="1"/>
  <c r="K15" i="43"/>
  <c r="L15" i="43" s="1"/>
  <c r="G16" i="43"/>
  <c r="E97" i="9"/>
  <c r="G74" i="9"/>
  <c r="K74" i="9"/>
  <c r="M74" i="9"/>
  <c r="E74" i="9"/>
  <c r="L12" i="9"/>
  <c r="K36" i="9" l="1"/>
  <c r="L36" i="9" s="1"/>
  <c r="K33" i="9"/>
  <c r="L33" i="9" s="1"/>
  <c r="K41" i="9"/>
  <c r="L41" i="9" s="1"/>
  <c r="K38" i="9"/>
  <c r="L38" i="9" s="1"/>
  <c r="K16" i="43"/>
  <c r="K40" i="9"/>
  <c r="L40" i="9" s="1"/>
  <c r="K34" i="9"/>
  <c r="L34" i="9" s="1"/>
  <c r="K42" i="9"/>
  <c r="L42" i="9" s="1"/>
  <c r="K43" i="9"/>
  <c r="L43" i="9" s="1"/>
  <c r="K44" i="9"/>
  <c r="L44" i="9" s="1"/>
  <c r="K35" i="9" l="1"/>
  <c r="L35" i="9" s="1"/>
  <c r="K37" i="9"/>
  <c r="L37" i="9" s="1"/>
  <c r="K39" i="9"/>
  <c r="L39" i="9" s="1"/>
  <c r="K14" i="9"/>
  <c r="K25" i="9" s="1"/>
  <c r="K45" i="9" l="1"/>
  <c r="L45" i="9" s="1"/>
  <c r="E24" i="9"/>
  <c r="F24" i="9" l="1"/>
  <c r="H25" i="9" l="1"/>
  <c r="F14" i="9"/>
  <c r="G14" i="9" l="1"/>
  <c r="F25" i="9"/>
  <c r="E25" i="9"/>
  <c r="J14" i="9" l="1"/>
  <c r="M14" i="9"/>
  <c r="G25" i="9"/>
  <c r="E53" i="9" l="1"/>
  <c r="G53" i="9"/>
  <c r="K4" i="37" l="1"/>
  <c r="L23" i="9"/>
  <c r="L15" i="9"/>
  <c r="L11" i="9" l="1"/>
  <c r="L9" i="9"/>
  <c r="L13" i="9"/>
  <c r="L22" i="9" l="1"/>
  <c r="L10" i="9" l="1"/>
  <c r="L19" i="9"/>
  <c r="L21" i="9"/>
  <c r="L20" i="9"/>
  <c r="L18" i="9"/>
  <c r="L17" i="9" l="1"/>
  <c r="I25" i="9"/>
  <c r="M25" i="9" s="1"/>
  <c r="L8" i="9" l="1"/>
  <c r="L14" i="9" l="1"/>
  <c r="T15" i="9" l="1"/>
  <c r="L16" i="9" l="1"/>
  <c r="J25" i="9" l="1"/>
  <c r="L24" i="9"/>
  <c r="P45" i="9" l="1"/>
  <c r="L25" i="9"/>
  <c r="T1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TAESU LEE</author>
    <author>Windows 사용자</author>
  </authors>
  <commentList>
    <comment ref="B2" authorId="0" shapeId="0" xr:uid="{F0CF0074-EC35-4C01-A7B5-133CD76260C6}">
      <text>
        <r>
          <rPr>
            <b/>
            <sz val="12"/>
            <color indexed="10"/>
            <rFont val="맑은 고딕"/>
            <family val="3"/>
            <charset val="129"/>
          </rPr>
          <t>노란색으로 표시된 부분만 입력해주세요</t>
        </r>
      </text>
    </comment>
    <comment ref="C2" authorId="1" shapeId="0" xr:uid="{00000000-0006-0000-0000-000001000000}">
      <text>
        <r>
          <rPr>
            <b/>
            <sz val="12"/>
            <color indexed="81"/>
            <rFont val="Tahoma"/>
            <family val="2"/>
          </rPr>
          <t xml:space="preserve">  </t>
        </r>
        <r>
          <rPr>
            <b/>
            <sz val="12"/>
            <color indexed="10"/>
            <rFont val="맑은 고딕"/>
            <family val="3"/>
            <charset val="129"/>
          </rPr>
          <t>2025년 12월 31일까지 집행분까지 작성요망</t>
        </r>
      </text>
    </comment>
  </commentList>
</comments>
</file>

<file path=xl/sharedStrings.xml><?xml version="1.0" encoding="utf-8"?>
<sst xmlns="http://schemas.openxmlformats.org/spreadsheetml/2006/main" count="516" uniqueCount="355">
  <si>
    <t>사업비 사용실적 명세서</t>
    <phoneticPr fontId="1" type="noConversion"/>
  </si>
  <si>
    <t xml:space="preserve">  가. 사업비 집행현황 총괄(연차별 집행현황)</t>
    <phoneticPr fontId="1" type="noConversion"/>
  </si>
  <si>
    <t>집행금액</t>
    <phoneticPr fontId="1" type="noConversion"/>
  </si>
  <si>
    <t>합    계</t>
    <phoneticPr fontId="1" type="noConversion"/>
  </si>
  <si>
    <t>발생액</t>
    <phoneticPr fontId="1" type="noConversion"/>
  </si>
  <si>
    <t>사용예정</t>
    <phoneticPr fontId="1" type="noConversion"/>
  </si>
  <si>
    <t>금액</t>
    <phoneticPr fontId="1" type="noConversion"/>
  </si>
  <si>
    <t>용도</t>
    <phoneticPr fontId="1" type="noConversion"/>
  </si>
  <si>
    <t>이월내역</t>
    <phoneticPr fontId="1" type="noConversion"/>
  </si>
  <si>
    <t>집행잔액</t>
    <phoneticPr fontId="1" type="noConversion"/>
  </si>
  <si>
    <t>이월금액</t>
    <phoneticPr fontId="1" type="noConversion"/>
  </si>
  <si>
    <t>잔액</t>
    <phoneticPr fontId="1" type="noConversion"/>
  </si>
  <si>
    <t>집행금액</t>
    <phoneticPr fontId="1" type="noConversion"/>
  </si>
  <si>
    <t>집행일</t>
    <phoneticPr fontId="1" type="noConversion"/>
  </si>
  <si>
    <t>비고</t>
    <phoneticPr fontId="1" type="noConversion"/>
  </si>
  <si>
    <t>재단승인 여부</t>
    <phoneticPr fontId="1" type="noConversion"/>
  </si>
  <si>
    <t>집행률</t>
    <phoneticPr fontId="1" type="noConversion"/>
  </si>
  <si>
    <t>공문 승인</t>
    <phoneticPr fontId="1" type="noConversion"/>
  </si>
  <si>
    <t>미승인</t>
    <phoneticPr fontId="1" type="noConversion"/>
  </si>
  <si>
    <t>- 선택 -</t>
    <phoneticPr fontId="1" type="noConversion"/>
  </si>
  <si>
    <t xml:space="preserve">1. 기관명 : </t>
    <phoneticPr fontId="1" type="noConversion"/>
  </si>
  <si>
    <t>집행용도</t>
    <phoneticPr fontId="1" type="noConversion"/>
  </si>
  <si>
    <t>※  1. 이월 승인에 관한 사항은 사업별로 요구하는 양식에 따라 처리</t>
    <phoneticPr fontId="1" type="noConversion"/>
  </si>
  <si>
    <t xml:space="preserve">     2. 집행현황은 1차년도는 생략하며, 집행내역의 잔액은 재이월이 불가</t>
    <phoneticPr fontId="1" type="noConversion"/>
  </si>
  <si>
    <t xml:space="preserve">    2. 당초계획대비 사용금액이 변경된 사항에 대해서는 비고란에 구체적 표기</t>
    <phoneticPr fontId="1" type="noConversion"/>
  </si>
  <si>
    <t>일반운영비</t>
    <phoneticPr fontId="1" type="noConversion"/>
  </si>
  <si>
    <t>여비</t>
    <phoneticPr fontId="1" type="noConversion"/>
  </si>
  <si>
    <t>업무추진비</t>
    <phoneticPr fontId="1" type="noConversion"/>
  </si>
  <si>
    <t>협약예산</t>
    <phoneticPr fontId="1" type="noConversion"/>
  </si>
  <si>
    <t>변경예산</t>
    <phoneticPr fontId="1" type="noConversion"/>
  </si>
  <si>
    <t>기타사항</t>
    <phoneticPr fontId="1" type="noConversion"/>
  </si>
  <si>
    <t>기타직보수</t>
    <phoneticPr fontId="1" type="noConversion"/>
  </si>
  <si>
    <t>보증금</t>
    <phoneticPr fontId="1" type="noConversion"/>
  </si>
  <si>
    <t>직접비</t>
    <phoneticPr fontId="1" type="noConversion"/>
  </si>
  <si>
    <t>간접비</t>
    <phoneticPr fontId="1" type="noConversion"/>
  </si>
  <si>
    <t>집행예산</t>
    <phoneticPr fontId="1" type="noConversion"/>
  </si>
  <si>
    <t>합  계</t>
    <phoneticPr fontId="1" type="noConversion"/>
  </si>
  <si>
    <t>구두 승인(추후 확인)</t>
    <phoneticPr fontId="1" type="noConversion"/>
  </si>
  <si>
    <t>기타사항</t>
  </si>
  <si>
    <t>인건비</t>
  </si>
  <si>
    <t>일반운영비</t>
  </si>
  <si>
    <t>여비</t>
  </si>
  <si>
    <t>업무추진비</t>
  </si>
  <si>
    <t>용역개발비</t>
  </si>
  <si>
    <t>기타직보수</t>
  </si>
  <si>
    <t>보증금</t>
  </si>
  <si>
    <t>적요</t>
    <phoneticPr fontId="1" type="noConversion"/>
  </si>
  <si>
    <t>특근매식비</t>
    <phoneticPr fontId="1" type="noConversion"/>
  </si>
  <si>
    <t>국내여비</t>
  </si>
  <si>
    <t>보수</t>
    <phoneticPr fontId="1" type="noConversion"/>
  </si>
  <si>
    <t>예산
(A)</t>
    <phoneticPr fontId="1" type="noConversion"/>
  </si>
  <si>
    <t>이자 및 제세금</t>
  </si>
  <si>
    <t>불인정 금액
(C)</t>
    <phoneticPr fontId="1" type="noConversion"/>
  </si>
  <si>
    <t>공공요금 및 제세</t>
    <phoneticPr fontId="1" type="noConversion"/>
  </si>
  <si>
    <t>통장잔액</t>
    <phoneticPr fontId="1" type="noConversion"/>
  </si>
  <si>
    <t>잔액 검증</t>
    <phoneticPr fontId="1" type="noConversion"/>
  </si>
  <si>
    <t>통장-실제</t>
    <phoneticPr fontId="1" type="noConversion"/>
  </si>
  <si>
    <t>업체 계상 금액</t>
    <phoneticPr fontId="1" type="noConversion"/>
  </si>
  <si>
    <t>감사인 계상 금액</t>
    <phoneticPr fontId="1" type="noConversion"/>
  </si>
  <si>
    <t>불인정 사유</t>
    <phoneticPr fontId="1" type="noConversion"/>
  </si>
  <si>
    <t>입금 날짜/예정일</t>
    <phoneticPr fontId="1" type="noConversion"/>
  </si>
  <si>
    <t>잔액
(A-B)</t>
    <phoneticPr fontId="1" type="noConversion"/>
  </si>
  <si>
    <t>사업추진비</t>
  </si>
  <si>
    <t>특근매식비</t>
  </si>
  <si>
    <t>보수</t>
  </si>
  <si>
    <t>세세목</t>
    <phoneticPr fontId="1" type="noConversion"/>
  </si>
  <si>
    <t>일반운영비</t>
    <phoneticPr fontId="1" type="noConversion"/>
  </si>
  <si>
    <t>비목                        구분</t>
    <phoneticPr fontId="1" type="noConversion"/>
  </si>
  <si>
    <t xml:space="preserve">  나. 간접비 세목별 집행현황 총괄</t>
    <phoneticPr fontId="1" type="noConversion"/>
  </si>
  <si>
    <t>기타사항</t>
    <phoneticPr fontId="1" type="noConversion"/>
  </si>
  <si>
    <t>보증금</t>
    <phoneticPr fontId="1" type="noConversion"/>
  </si>
  <si>
    <t>기타</t>
    <phoneticPr fontId="1" type="noConversion"/>
  </si>
  <si>
    <r>
      <t xml:space="preserve">라. (차년도) 이월내역 및 집행현황  </t>
    </r>
    <r>
      <rPr>
        <i/>
        <sz val="11"/>
        <color theme="1"/>
        <rFont val="HY그래픽M"/>
        <family val="1"/>
        <charset val="129"/>
      </rPr>
      <t>(해당사항 없을 경우 공란)</t>
    </r>
    <phoneticPr fontId="1" type="noConversion"/>
  </si>
  <si>
    <t>이자 및 제세금(간)</t>
    <phoneticPr fontId="1" type="noConversion"/>
  </si>
  <si>
    <t>불인정 차감 후 
잔액
(A-B-C)</t>
    <phoneticPr fontId="1" type="noConversion"/>
  </si>
  <si>
    <t>불인정 차감 전 
잔액
(A-B)</t>
    <phoneticPr fontId="1" type="noConversion"/>
  </si>
  <si>
    <t>※ 1. 협약예산과 집행예산의 차이가 없는경우 변경예산에는 공란으로 표시</t>
  </si>
  <si>
    <t>제작소특화프로그램</t>
    <phoneticPr fontId="1" type="noConversion"/>
  </si>
  <si>
    <t>자기발견</t>
    <phoneticPr fontId="1" type="noConversion"/>
  </si>
  <si>
    <t>자립지원</t>
    <phoneticPr fontId="1" type="noConversion"/>
  </si>
  <si>
    <t>ㅇㅇ제작소</t>
    <phoneticPr fontId="1" type="noConversion"/>
  </si>
  <si>
    <t>구분/내용</t>
  </si>
  <si>
    <t>세부내용</t>
  </si>
  <si>
    <t>필요증빙서류</t>
  </si>
  <si>
    <t>제작소</t>
  </si>
  <si>
    <r>
      <t>공동운영프로그램,</t>
    </r>
    <r>
      <rPr>
        <sz val="11"/>
        <color rgb="FF191919"/>
        <rFont val="맑은 고딕"/>
        <family val="3"/>
        <charset val="129"/>
        <scheme val="minor"/>
      </rPr>
      <t xml:space="preserve"> </t>
    </r>
    <r>
      <rPr>
        <sz val="11"/>
        <color rgb="FF191919"/>
        <rFont val="한양중고딕"/>
        <family val="3"/>
        <charset val="129"/>
      </rPr>
      <t>멘토링, 강의(특강) 등</t>
    </r>
  </si>
  <si>
    <t>불가</t>
  </si>
  <si>
    <t>프로그램 운영 부대비용</t>
  </si>
  <si>
    <t>제작소/외부기관</t>
  </si>
  <si>
    <t>라이프코칭</t>
  </si>
  <si>
    <t xml:space="preserve">멘토링 및 강의(특강)지원, 커뮤니티지원, </t>
  </si>
  <si>
    <t>외부기관</t>
  </si>
  <si>
    <t>지지기반</t>
  </si>
  <si>
    <t>소규모 멘토링, 커뮤니티지원</t>
  </si>
  <si>
    <t>마음건강</t>
  </si>
  <si>
    <t>심리상담 외부위탁비</t>
  </si>
  <si>
    <t>진로설계</t>
  </si>
  <si>
    <t>심리검사(MBTI, 다중지능검사, DISC 등), 진로상담</t>
  </si>
  <si>
    <t>불가피한 교재(재료)</t>
  </si>
  <si>
    <t>(창업)시제품 개발·재료</t>
  </si>
  <si>
    <t>자격증 응시료</t>
  </si>
  <si>
    <t>프로그램 인건비</t>
  </si>
  <si>
    <t>□ 간접사업비</t>
  </si>
  <si>
    <r>
      <t xml:space="preserve">2) </t>
    </r>
    <r>
      <rPr>
        <b/>
        <sz val="15"/>
        <color rgb="FF000000"/>
        <rFont val="휴먼명조"/>
        <charset val="129"/>
      </rPr>
      <t>일반운영비</t>
    </r>
  </si>
  <si>
    <r>
      <t xml:space="preserve">3) </t>
    </r>
    <r>
      <rPr>
        <b/>
        <sz val="15"/>
        <color rgb="FF000000"/>
        <rFont val="휴먼명조"/>
        <charset val="129"/>
      </rPr>
      <t>여비</t>
    </r>
  </si>
  <si>
    <r>
      <t xml:space="preserve">4) </t>
    </r>
    <r>
      <rPr>
        <b/>
        <sz val="15"/>
        <color rgb="FF000000"/>
        <rFont val="휴먼명조"/>
        <charset val="129"/>
      </rPr>
      <t>업무추진비</t>
    </r>
  </si>
  <si>
    <r>
      <t>생</t>
    </r>
    <r>
      <rPr>
        <sz val="11"/>
        <color rgb="FF191919"/>
        <rFont val="Arial Unicode MS"/>
        <family val="3"/>
        <charset val="129"/>
      </rPr>
      <t>활기술</t>
    </r>
    <phoneticPr fontId="1" type="noConversion"/>
  </si>
  <si>
    <r>
      <t>자</t>
    </r>
    <r>
      <rPr>
        <sz val="11"/>
        <color rgb="FF191919"/>
        <rFont val="Arial Unicode MS"/>
        <family val="3"/>
        <charset val="129"/>
      </rPr>
      <t>기발견</t>
    </r>
    <phoneticPr fontId="1" type="noConversion"/>
  </si>
  <si>
    <r>
      <t>자</t>
    </r>
    <r>
      <rPr>
        <sz val="11"/>
        <color rgb="FF191919"/>
        <rFont val="Arial Unicode MS"/>
        <family val="3"/>
        <charset val="129"/>
      </rPr>
      <t>립지원</t>
    </r>
    <phoneticPr fontId="1" type="noConversion"/>
  </si>
  <si>
    <r>
      <t>운영</t>
    </r>
    <r>
      <rPr>
        <b/>
        <sz val="11"/>
        <color rgb="FF191919"/>
        <rFont val="Arial Unicode MS"/>
        <family val="3"/>
        <charset val="129"/>
      </rPr>
      <t>주체</t>
    </r>
    <phoneticPr fontId="1" type="noConversion"/>
  </si>
  <si>
    <t>실비지급(청년 직접지급)</t>
    <phoneticPr fontId="1" type="noConversion"/>
  </si>
  <si>
    <t>가능</t>
    <phoneticPr fontId="1" type="noConversion"/>
  </si>
  <si>
    <r>
      <rPr>
        <b/>
        <vertAlign val="superscript"/>
        <sz val="12"/>
        <color rgb="FF0070C0"/>
        <rFont val="휴먼명조"/>
        <charset val="129"/>
      </rPr>
      <t>[1]</t>
    </r>
    <r>
      <rPr>
        <sz val="11"/>
        <color rgb="FF191919"/>
        <rFont val="한양중고딕"/>
        <family val="3"/>
        <charset val="129"/>
      </rPr>
      <t>제작소 자체 특화프로그램</t>
    </r>
    <phoneticPr fontId="1" type="noConversion"/>
  </si>
  <si>
    <r>
      <t xml:space="preserve"> ○ </t>
    </r>
    <r>
      <rPr>
        <b/>
        <vertAlign val="superscript"/>
        <sz val="12"/>
        <color rgb="FF0070C0"/>
        <rFont val="휴먼명조"/>
        <charset val="129"/>
      </rPr>
      <t>[1]</t>
    </r>
    <r>
      <rPr>
        <b/>
        <sz val="15"/>
        <color rgb="FF191919"/>
        <rFont val="휴먼명조"/>
        <charset val="129"/>
      </rPr>
      <t>참여청년 맞춤형으로 설계된 제작소 자체 프로그램 운영 시 사용</t>
    </r>
    <phoneticPr fontId="1" type="noConversion"/>
  </si>
  <si>
    <r>
      <t xml:space="preserve">   - </t>
    </r>
    <r>
      <rPr>
        <sz val="15"/>
        <color rgb="FF191919"/>
        <rFont val="휴먼명조"/>
        <charset val="129"/>
      </rPr>
      <t>참여청년들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공동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운영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프로그램의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경우</t>
    </r>
    <r>
      <rPr>
        <sz val="15"/>
        <color rgb="FF191919"/>
        <rFont val="HCI Poppy"/>
        <family val="2"/>
      </rPr>
      <t xml:space="preserve">, </t>
    </r>
    <r>
      <rPr>
        <sz val="15"/>
        <color rgb="FF191919"/>
        <rFont val="휴먼명조"/>
        <charset val="129"/>
      </rPr>
      <t>해당청년</t>
    </r>
    <r>
      <rPr>
        <sz val="15"/>
        <color rgb="FF191919"/>
        <rFont val="HCI Poppy"/>
        <family val="2"/>
      </rPr>
      <t xml:space="preserve"> ‘</t>
    </r>
    <r>
      <rPr>
        <sz val="15"/>
        <color rgb="FF191919"/>
        <rFont val="휴먼명조"/>
        <charset val="129"/>
      </rPr>
      <t>역량강화지원비</t>
    </r>
    <r>
      <rPr>
        <sz val="15"/>
        <color rgb="FF191919"/>
        <rFont val="HCI Poppy"/>
        <family val="2"/>
      </rPr>
      <t>’</t>
    </r>
    <r>
      <rPr>
        <sz val="15"/>
        <color rgb="FF191919"/>
        <rFont val="휴먼명조"/>
        <charset val="129"/>
      </rPr>
      <t>비목에서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나누어</t>
    </r>
    <r>
      <rPr>
        <sz val="15"/>
        <color rgb="FF191919"/>
        <rFont val="HCI Poppy"/>
        <family val="2"/>
      </rPr>
      <t xml:space="preserve">(1/n) </t>
    </r>
    <r>
      <rPr>
        <sz val="15"/>
        <color rgb="FF191919"/>
        <rFont val="휴먼명조"/>
        <charset val="129"/>
      </rPr>
      <t>집행하고</t>
    </r>
    <r>
      <rPr>
        <sz val="15"/>
        <color rgb="FF191919"/>
        <rFont val="HCI Poppy"/>
        <family val="2"/>
      </rPr>
      <t xml:space="preserve">, </t>
    </r>
    <r>
      <rPr>
        <sz val="15"/>
        <color rgb="FF191919"/>
        <rFont val="휴먼명조"/>
        <charset val="129"/>
      </rPr>
      <t>출결확인자료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증빙</t>
    </r>
    <phoneticPr fontId="1" type="noConversion"/>
  </si>
  <si>
    <t xml:space="preserve">      * 제작소특화프로그램 진행에 소요되는 인쇄물, 다과, 렌탈비 등의 부대비용 포함(간접사업비 집행기준과 동일)</t>
    <phoneticPr fontId="1" type="noConversion"/>
  </si>
  <si>
    <r>
      <t xml:space="preserve"> ○ 심리상담을 외부 위탁을 통해서 유료로 진행할 경우</t>
    </r>
    <r>
      <rPr>
        <b/>
        <sz val="15"/>
        <color rgb="FF191919"/>
        <rFont val="맑은 고딕"/>
        <family val="3"/>
        <charset val="129"/>
        <scheme val="minor"/>
      </rPr>
      <t xml:space="preserve"> </t>
    </r>
    <r>
      <rPr>
        <b/>
        <sz val="15"/>
        <color rgb="FF191919"/>
        <rFont val="휴먼명조"/>
        <charset val="129"/>
      </rPr>
      <t>사용</t>
    </r>
    <r>
      <rPr>
        <b/>
        <sz val="15"/>
        <color rgb="FF191919"/>
        <rFont val="HCI Poppy"/>
        <family val="2"/>
      </rPr>
      <t>,</t>
    </r>
    <r>
      <rPr>
        <b/>
        <sz val="15"/>
        <color rgb="FF191919"/>
        <rFont val="맑은 고딕"/>
        <family val="3"/>
        <charset val="129"/>
        <scheme val="minor"/>
      </rPr>
      <t xml:space="preserve"> </t>
    </r>
    <r>
      <rPr>
        <b/>
        <sz val="15"/>
        <color rgb="FF191919"/>
        <rFont val="휴먼명조"/>
        <charset val="129"/>
      </rPr>
      <t>내부 인프라 활용 시 비용지급 불가</t>
    </r>
    <phoneticPr fontId="1" type="noConversion"/>
  </si>
  <si>
    <r>
      <t xml:space="preserve"> ○ 심리검사는 무료를 우선으로 진행하되</t>
    </r>
    <r>
      <rPr>
        <b/>
        <sz val="15"/>
        <color rgb="FF191919"/>
        <rFont val="HCI Poppy"/>
        <family val="2"/>
      </rPr>
      <t xml:space="preserve">, </t>
    </r>
    <r>
      <rPr>
        <b/>
        <sz val="15"/>
        <color rgb="FF191919"/>
        <rFont val="휴먼명조"/>
        <charset val="129"/>
      </rPr>
      <t>필요시 검사지를</t>
    </r>
    <r>
      <rPr>
        <b/>
        <sz val="15"/>
        <color rgb="FF191919"/>
        <rFont val="맑은 고딕"/>
        <family val="3"/>
        <charset val="129"/>
        <scheme val="minor"/>
      </rPr>
      <t xml:space="preserve"> </t>
    </r>
    <r>
      <rPr>
        <b/>
        <sz val="15"/>
        <color rgb="FF191919"/>
        <rFont val="휴먼명조"/>
        <charset val="129"/>
      </rPr>
      <t>구매하여 진행</t>
    </r>
    <phoneticPr fontId="1" type="noConversion"/>
  </si>
  <si>
    <r>
      <t xml:space="preserve"> ○ </t>
    </r>
    <r>
      <rPr>
        <b/>
        <vertAlign val="superscript"/>
        <sz val="12"/>
        <color rgb="FF0070C0"/>
        <rFont val="휴먼명조"/>
        <charset val="129"/>
      </rPr>
      <t>[2]</t>
    </r>
    <r>
      <rPr>
        <b/>
        <sz val="15"/>
        <color rgb="FF191919"/>
        <rFont val="휴먼명조"/>
        <charset val="129"/>
      </rPr>
      <t>정부 및 지자체를 포함한 외부기관에서 개설한 훈련 수강을</t>
    </r>
    <r>
      <rPr>
        <b/>
        <sz val="15"/>
        <color rgb="FF191919"/>
        <rFont val="맑은 고딕"/>
        <family val="3"/>
        <charset val="129"/>
        <scheme val="minor"/>
      </rPr>
      <t xml:space="preserve"> </t>
    </r>
    <r>
      <rPr>
        <b/>
        <sz val="15"/>
        <color rgb="FF191919"/>
        <rFont val="휴먼명조"/>
        <charset val="129"/>
      </rPr>
      <t>위한 비용</t>
    </r>
    <r>
      <rPr>
        <b/>
        <sz val="15"/>
        <color rgb="FF191919"/>
        <rFont val="HCI Poppy"/>
        <family val="2"/>
      </rPr>
      <t xml:space="preserve">, </t>
    </r>
    <r>
      <rPr>
        <b/>
        <sz val="15"/>
        <color rgb="FF191919"/>
        <rFont val="휴먼명조"/>
        <charset val="129"/>
      </rPr>
      <t>미지원 항목</t>
    </r>
    <r>
      <rPr>
        <b/>
        <sz val="15"/>
        <color rgb="FF191919"/>
        <rFont val="HCI Poppy"/>
        <family val="2"/>
      </rPr>
      <t>(</t>
    </r>
    <r>
      <rPr>
        <b/>
        <sz val="15"/>
        <color rgb="FF191919"/>
        <rFont val="휴먼명조"/>
        <charset val="129"/>
      </rPr>
      <t>자기부담금</t>
    </r>
    <r>
      <rPr>
        <b/>
        <sz val="15"/>
        <color rgb="FF191919"/>
        <rFont val="HCI Poppy"/>
        <family val="2"/>
      </rPr>
      <t xml:space="preserve">), </t>
    </r>
    <r>
      <rPr>
        <b/>
        <sz val="15"/>
        <color rgb="FF191919"/>
        <rFont val="휴먼명조"/>
        <charset val="129"/>
      </rPr>
      <t>자격증 취득비</t>
    </r>
    <phoneticPr fontId="1" type="noConversion"/>
  </si>
  <si>
    <r>
      <t xml:space="preserve">   - </t>
    </r>
    <r>
      <rPr>
        <sz val="15"/>
        <color rgb="FF191919"/>
        <rFont val="휴먼명조"/>
        <charset val="129"/>
      </rPr>
      <t>훈련</t>
    </r>
    <r>
      <rPr>
        <sz val="15"/>
        <color rgb="FF191919"/>
        <rFont val="HCI Poppy"/>
        <family val="2"/>
      </rPr>
      <t>·</t>
    </r>
    <r>
      <rPr>
        <sz val="15"/>
        <color rgb="FF191919"/>
        <rFont val="휴먼명조"/>
        <charset val="129"/>
      </rPr>
      <t>수강</t>
    </r>
    <r>
      <rPr>
        <sz val="15"/>
        <color rgb="FF191919"/>
        <rFont val="HCI Poppy"/>
        <family val="2"/>
      </rPr>
      <t>·</t>
    </r>
    <r>
      <rPr>
        <sz val="15"/>
        <color rgb="FF191919"/>
        <rFont val="휴먼명조"/>
        <charset val="129"/>
      </rPr>
      <t>자격증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취득의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취소</t>
    </r>
    <r>
      <rPr>
        <sz val="15"/>
        <color rgb="FF191919"/>
        <rFont val="HCI Poppy"/>
        <family val="2"/>
      </rPr>
      <t>·</t>
    </r>
    <r>
      <rPr>
        <sz val="15"/>
        <color rgb="FF191919"/>
        <rFont val="휴먼명조"/>
        <charset val="129"/>
      </rPr>
      <t>중도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탈락</t>
    </r>
    <r>
      <rPr>
        <sz val="15"/>
        <color rgb="FF191919"/>
        <rFont val="HCI Poppy"/>
        <family val="2"/>
      </rPr>
      <t>(</t>
    </r>
    <r>
      <rPr>
        <sz val="15"/>
        <color rgb="FF191919"/>
        <rFont val="휴먼명조"/>
        <charset val="129"/>
      </rPr>
      <t>포기</t>
    </r>
    <r>
      <rPr>
        <sz val="15"/>
        <color rgb="FF191919"/>
        <rFont val="HCI Poppy"/>
        <family val="2"/>
      </rPr>
      <t>)</t>
    </r>
    <r>
      <rPr>
        <sz val="15"/>
        <color rgb="FF191919"/>
        <rFont val="휴먼명조"/>
        <charset val="129"/>
      </rPr>
      <t>의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경우</t>
    </r>
    <r>
      <rPr>
        <sz val="15"/>
        <color rgb="FF191919"/>
        <rFont val="HCI Poppy"/>
        <family val="3"/>
        <charset val="129"/>
      </rPr>
      <t xml:space="preserve"> </t>
    </r>
    <r>
      <rPr>
        <sz val="15"/>
        <color rgb="FF191919"/>
        <rFont val="휴먼명조"/>
        <charset val="129"/>
      </rPr>
      <t>증빙서류에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사유서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첨부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필요</t>
    </r>
    <phoneticPr fontId="1" type="noConversion"/>
  </si>
  <si>
    <r>
      <t xml:space="preserve">      * 대상 청년에게 각종 수당, 장학금 등을 직접 지급하는 것은 원칙적으로</t>
    </r>
    <r>
      <rPr>
        <sz val="13"/>
        <color rgb="FF191919"/>
        <rFont val="한양중고딕"/>
        <family val="3"/>
      </rPr>
      <t xml:space="preserve"> </t>
    </r>
    <r>
      <rPr>
        <sz val="13"/>
        <color rgb="FF191919"/>
        <rFont val="한양중고딕"/>
        <family val="3"/>
        <charset val="129"/>
      </rPr>
      <t>불가하나, 아래 항목에 한하여 청년에게 실비지급 가능</t>
    </r>
    <phoneticPr fontId="1" type="noConversion"/>
  </si>
  <si>
    <r>
      <rPr>
        <sz val="13"/>
        <color rgb="FF191919"/>
        <rFont val="맑은 고딕"/>
        <family val="3"/>
        <charset val="129"/>
      </rPr>
      <t xml:space="preserve">         </t>
    </r>
    <r>
      <rPr>
        <sz val="13"/>
        <color rgb="FF191919"/>
        <rFont val="Segoe UI Symbol"/>
        <family val="3"/>
      </rPr>
      <t>①</t>
    </r>
    <r>
      <rPr>
        <sz val="13"/>
        <color rgb="FF191919"/>
        <rFont val="한양중고딕"/>
        <family val="3"/>
        <charset val="129"/>
      </rPr>
      <t xml:space="preserve"> </t>
    </r>
    <r>
      <rPr>
        <sz val="13"/>
        <color rgb="FF191919"/>
        <rFont val="Calibri"/>
        <family val="3"/>
      </rPr>
      <t>‘</t>
    </r>
    <r>
      <rPr>
        <sz val="13"/>
        <color rgb="FF191919"/>
        <rFont val="한양중고딕"/>
        <family val="3"/>
        <charset val="129"/>
      </rPr>
      <t>국민내일배움카드(구,내일배움카드)</t>
    </r>
    <r>
      <rPr>
        <sz val="13"/>
        <color rgb="FF191919"/>
        <rFont val="Calibri"/>
        <family val="3"/>
      </rPr>
      <t>’</t>
    </r>
    <r>
      <rPr>
        <sz val="13"/>
        <color rgb="FF191919"/>
        <rFont val="한양중고딕"/>
        <family val="3"/>
        <charset val="129"/>
      </rPr>
      <t xml:space="preserve"> 훈련수강으로 인해 발생하는</t>
    </r>
    <r>
      <rPr>
        <sz val="13"/>
        <color rgb="FF191919"/>
        <rFont val="맑은 고딕"/>
        <family val="3"/>
        <charset val="129"/>
        <scheme val="minor"/>
      </rPr>
      <t xml:space="preserve"> </t>
    </r>
    <r>
      <rPr>
        <sz val="13"/>
        <color rgb="FF191919"/>
        <rFont val="한양중고딕"/>
        <family val="3"/>
        <charset val="129"/>
      </rPr>
      <t>자비부담금에 한하여, 해당 청년 명의의 계좌로 지급 가능</t>
    </r>
    <r>
      <rPr>
        <sz val="13"/>
        <color rgb="FF191919"/>
        <rFont val="맑은 고딕"/>
        <family val="3"/>
        <charset val="129"/>
        <scheme val="minor"/>
      </rPr>
      <t xml:space="preserve"> </t>
    </r>
    <r>
      <rPr>
        <sz val="13"/>
        <color rgb="FF191919"/>
        <rFont val="한양중고딕"/>
        <family val="3"/>
        <charset val="129"/>
      </rPr>
      <t>(훈련내용,기관정보,카드계좌정보 등 증빙)</t>
    </r>
    <phoneticPr fontId="1" type="noConversion"/>
  </si>
  <si>
    <r>
      <rPr>
        <sz val="13"/>
        <color rgb="FF191919"/>
        <rFont val="맑은 고딕"/>
        <family val="3"/>
        <charset val="129"/>
      </rPr>
      <t xml:space="preserve">         </t>
    </r>
    <r>
      <rPr>
        <sz val="13"/>
        <color rgb="FF191919"/>
        <rFont val="Segoe UI Symbol"/>
        <family val="3"/>
      </rPr>
      <t>②</t>
    </r>
    <r>
      <rPr>
        <sz val="13"/>
        <color rgb="FF191919"/>
        <rFont val="한양중고딕"/>
        <family val="3"/>
        <charset val="129"/>
      </rPr>
      <t xml:space="preserve"> 자격증 취득 비용 지급의 경우, 자격증 시험 신청영수증, 응시확인서,</t>
    </r>
    <r>
      <rPr>
        <sz val="13"/>
        <color rgb="FF191919"/>
        <rFont val="맑은 고딕"/>
        <family val="3"/>
        <charset val="129"/>
        <scheme val="minor"/>
      </rPr>
      <t xml:space="preserve"> </t>
    </r>
    <r>
      <rPr>
        <sz val="13"/>
        <color rgb="FF191919"/>
        <rFont val="한양중고딕"/>
        <family val="3"/>
        <charset val="129"/>
      </rPr>
      <t>수험표가 증빙된 건에 한하여 인정되며, 증빙서류 확인 후 청년 실비</t>
    </r>
    <r>
      <rPr>
        <sz val="13"/>
        <color rgb="FF191919"/>
        <rFont val="맑은 고딕"/>
        <family val="3"/>
        <charset val="129"/>
        <scheme val="minor"/>
      </rPr>
      <t xml:space="preserve"> </t>
    </r>
    <r>
      <rPr>
        <sz val="13"/>
        <color rgb="FF191919"/>
        <rFont val="한양중고딕"/>
        <family val="3"/>
        <charset val="129"/>
      </rPr>
      <t>지급 가능(응시확인서가 없는 경우 응시결과서류 확인이 필요하며, 미 응시의 경우 시험비용을 반환하고 미 응시 사유서 필요)</t>
    </r>
    <phoneticPr fontId="1" type="noConversion"/>
  </si>
  <si>
    <r>
      <t xml:space="preserve"> ○ </t>
    </r>
    <r>
      <rPr>
        <b/>
        <vertAlign val="superscript"/>
        <sz val="12"/>
        <color rgb="FF0070C0"/>
        <rFont val="휴먼명조"/>
        <charset val="129"/>
      </rPr>
      <t>[2]</t>
    </r>
    <r>
      <rPr>
        <b/>
        <sz val="15"/>
        <color rgb="FF191919"/>
        <rFont val="휴먼명조"/>
        <charset val="129"/>
      </rPr>
      <t>정부 및 지자체를 포함한 외부기관의 창업지원사업</t>
    </r>
    <r>
      <rPr>
        <b/>
        <sz val="15"/>
        <color rgb="FF191919"/>
        <rFont val="맑은 고딕"/>
        <family val="3"/>
        <charset val="129"/>
        <scheme val="minor"/>
      </rPr>
      <t xml:space="preserve"> </t>
    </r>
    <r>
      <rPr>
        <b/>
        <sz val="15"/>
        <color rgb="FF191919"/>
        <rFont val="휴먼명조"/>
        <charset val="129"/>
      </rPr>
      <t>미지원 항목</t>
    </r>
    <r>
      <rPr>
        <b/>
        <sz val="15"/>
        <color rgb="FF191919"/>
        <rFont val="HCI Poppy"/>
        <family val="2"/>
      </rPr>
      <t>(</t>
    </r>
    <r>
      <rPr>
        <b/>
        <sz val="15"/>
        <color rgb="FF191919"/>
        <rFont val="휴먼명조"/>
        <charset val="129"/>
      </rPr>
      <t>자기부담금</t>
    </r>
    <r>
      <rPr>
        <b/>
        <sz val="15"/>
        <color rgb="FF191919"/>
        <rFont val="HCI Poppy"/>
        <family val="2"/>
      </rPr>
      <t xml:space="preserve">), </t>
    </r>
    <r>
      <rPr>
        <b/>
        <sz val="15"/>
        <color rgb="FF191919"/>
        <rFont val="휴먼명조"/>
        <charset val="129"/>
      </rPr>
      <t>시제품 개발비</t>
    </r>
    <r>
      <rPr>
        <b/>
        <sz val="15"/>
        <color rgb="FF191919"/>
        <rFont val="HCI Poppy"/>
        <family val="2"/>
      </rPr>
      <t xml:space="preserve">, </t>
    </r>
    <r>
      <rPr>
        <b/>
        <sz val="15"/>
        <color rgb="FF191919"/>
        <rFont val="휴먼명조"/>
        <charset val="129"/>
      </rPr>
      <t>재료비</t>
    </r>
    <phoneticPr fontId="1" type="noConversion"/>
  </si>
  <si>
    <r>
      <rPr>
        <sz val="13"/>
        <color rgb="FF191919"/>
        <rFont val="맑은 고딕"/>
        <family val="3"/>
        <charset val="129"/>
      </rPr>
      <t xml:space="preserve">      </t>
    </r>
    <r>
      <rPr>
        <sz val="13"/>
        <color rgb="FF191919"/>
        <rFont val="한양중고딕"/>
        <family val="3"/>
        <charset val="129"/>
      </rPr>
      <t>* 시제품 개발비용, 재료비 등으로 지원필요성이 있다고 판단될 경우 계획서 작성을 통해 비용예산을 수립하고, 재단과 협의하여 지원 가능</t>
    </r>
    <phoneticPr fontId="1" type="noConversion"/>
  </si>
  <si>
    <r>
      <t xml:space="preserve">   - </t>
    </r>
    <r>
      <rPr>
        <sz val="15"/>
        <color rgb="FF191919"/>
        <rFont val="휴먼명조"/>
        <charset val="129"/>
      </rPr>
      <t>참여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기관</t>
    </r>
    <r>
      <rPr>
        <sz val="15"/>
        <color rgb="FF191919"/>
        <rFont val="HCI Poppy"/>
        <family val="2"/>
      </rPr>
      <t>·</t>
    </r>
    <r>
      <rPr>
        <sz val="15"/>
        <color rgb="FF191919"/>
        <rFont val="휴먼명조"/>
        <charset val="129"/>
      </rPr>
      <t>업체와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협약을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통해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진행하며</t>
    </r>
    <r>
      <rPr>
        <sz val="15"/>
        <color rgb="FF191919"/>
        <rFont val="HCI Poppy"/>
        <family val="2"/>
      </rPr>
      <t xml:space="preserve">, </t>
    </r>
    <r>
      <rPr>
        <sz val="15"/>
        <color rgb="FF191919"/>
        <rFont val="휴먼명조"/>
        <charset val="129"/>
      </rPr>
      <t>선정에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대한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투명성을</t>
    </r>
    <r>
      <rPr>
        <sz val="15"/>
        <color rgb="FF191919"/>
        <rFont val="HCI Poppy"/>
        <family val="3"/>
        <charset val="129"/>
      </rPr>
      <t xml:space="preserve"> </t>
    </r>
    <r>
      <rPr>
        <sz val="15"/>
        <color rgb="FF191919"/>
        <rFont val="휴먼명조"/>
        <charset val="129"/>
      </rPr>
      <t>위하여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협약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전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재단과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협의</t>
    </r>
    <phoneticPr fontId="1" type="noConversion"/>
  </si>
  <si>
    <r>
      <t xml:space="preserve">1) </t>
    </r>
    <r>
      <rPr>
        <b/>
        <sz val="15"/>
        <color rgb="FF000000"/>
        <rFont val="휴먼명조"/>
        <charset val="129"/>
      </rPr>
      <t>보수</t>
    </r>
    <phoneticPr fontId="1" type="noConversion"/>
  </si>
  <si>
    <t xml:space="preserve"> ○ 인건비</t>
    <phoneticPr fontId="1" type="noConversion"/>
  </si>
  <si>
    <r>
      <t xml:space="preserve">   - </t>
    </r>
    <r>
      <rPr>
        <sz val="15"/>
        <color rgb="FF000000"/>
        <rFont val="휴먼명조"/>
        <charset val="129"/>
      </rPr>
      <t>계약기간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중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사업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운영을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위한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전담직원에게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지급된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총액을</t>
    </r>
    <r>
      <rPr>
        <sz val="15"/>
        <color rgb="FF000000"/>
        <rFont val="HCI Poppy"/>
        <family val="3"/>
        <charset val="129"/>
      </rPr>
      <t xml:space="preserve"> </t>
    </r>
    <r>
      <rPr>
        <sz val="15"/>
        <color rgb="FF000000"/>
        <rFont val="휴먼명조"/>
        <charset val="129"/>
      </rPr>
      <t>기준으로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인정</t>
    </r>
    <phoneticPr fontId="1" type="noConversion"/>
  </si>
  <si>
    <r>
      <t xml:space="preserve">      * 전담직원 변경 시 사전에 공유하고, 변경에 따른 인건비</t>
    </r>
    <r>
      <rPr>
        <sz val="13"/>
        <color rgb="FF000000"/>
        <rFont val="한양중고딕"/>
        <family val="3"/>
      </rPr>
      <t xml:space="preserve"> </t>
    </r>
    <r>
      <rPr>
        <sz val="13"/>
        <color rgb="FF000000"/>
        <rFont val="한양중고딕"/>
        <family val="3"/>
        <charset val="129"/>
      </rPr>
      <t>지급액</t>
    </r>
    <r>
      <rPr>
        <sz val="13"/>
        <color rgb="FF000000"/>
        <rFont val="한양중고딕"/>
        <family val="3"/>
      </rPr>
      <t xml:space="preserve"> </t>
    </r>
    <r>
      <rPr>
        <sz val="13"/>
        <color rgb="FF000000"/>
        <rFont val="한양중고딕"/>
        <family val="3"/>
        <charset val="129"/>
      </rPr>
      <t>변동내역을 조정하고 재단 승인 필요 (승인 받지 않은</t>
    </r>
    <r>
      <rPr>
        <sz val="13"/>
        <color rgb="FF000000"/>
        <rFont val="한양중고딕"/>
        <family val="3"/>
      </rPr>
      <t xml:space="preserve"> </t>
    </r>
    <r>
      <rPr>
        <sz val="13"/>
        <color rgb="FF000000"/>
        <rFont val="한양중고딕"/>
        <family val="3"/>
        <charset val="129"/>
      </rPr>
      <t>직원에</t>
    </r>
    <r>
      <rPr>
        <sz val="13"/>
        <color rgb="FF000000"/>
        <rFont val="한양중고딕"/>
        <family val="3"/>
      </rPr>
      <t xml:space="preserve"> </t>
    </r>
    <r>
      <rPr>
        <sz val="13"/>
        <color rgb="FF000000"/>
        <rFont val="한양중고딕"/>
        <family val="3"/>
        <charset val="129"/>
      </rPr>
      <t>대한</t>
    </r>
    <r>
      <rPr>
        <sz val="13"/>
        <color rgb="FF000000"/>
        <rFont val="한양중고딕"/>
        <family val="3"/>
      </rPr>
      <t xml:space="preserve"> </t>
    </r>
    <r>
      <rPr>
        <sz val="13"/>
        <color rgb="FF000000"/>
        <rFont val="한양중고딕"/>
        <family val="3"/>
        <charset val="129"/>
      </rPr>
      <t>인건비는 인정 불가)</t>
    </r>
    <phoneticPr fontId="1" type="noConversion"/>
  </si>
  <si>
    <r>
      <t xml:space="preserve">   - </t>
    </r>
    <r>
      <rPr>
        <sz val="15"/>
        <color rgb="FF000000"/>
        <rFont val="휴먼명조"/>
        <charset val="129"/>
      </rPr>
      <t>타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사업에서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지원하는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사업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수행을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위해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인건비를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지원받는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자는</t>
    </r>
    <r>
      <rPr>
        <sz val="15"/>
        <color rgb="FF000000"/>
        <rFont val="HCI Poppy"/>
        <family val="3"/>
        <charset val="129"/>
      </rPr>
      <t xml:space="preserve"> </t>
    </r>
    <r>
      <rPr>
        <sz val="15"/>
        <color rgb="FF000000"/>
        <rFont val="휴먼명조"/>
        <charset val="129"/>
      </rPr>
      <t>「청년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다다름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사업」운영을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위한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인건비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지원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불가</t>
    </r>
    <phoneticPr fontId="1" type="noConversion"/>
  </si>
  <si>
    <r>
      <t xml:space="preserve">   - </t>
    </r>
    <r>
      <rPr>
        <sz val="15"/>
        <color rgb="FF000000"/>
        <rFont val="휴먼명조"/>
        <charset val="129"/>
      </rPr>
      <t>인건비에는 사회보험료</t>
    </r>
    <r>
      <rPr>
        <sz val="15"/>
        <color rgb="FF000000"/>
        <rFont val="HCI Poppy"/>
        <family val="2"/>
      </rPr>
      <t>(</t>
    </r>
    <r>
      <rPr>
        <sz val="15"/>
        <color rgb="FF000000"/>
        <rFont val="휴먼명조"/>
        <charset val="129"/>
      </rPr>
      <t>국민연금</t>
    </r>
    <r>
      <rPr>
        <sz val="15"/>
        <color rgb="FF000000"/>
        <rFont val="HCI Poppy"/>
        <family val="2"/>
      </rPr>
      <t xml:space="preserve">, </t>
    </r>
    <r>
      <rPr>
        <sz val="15"/>
        <color rgb="FF000000"/>
        <rFont val="휴먼명조"/>
        <charset val="129"/>
      </rPr>
      <t>건강보험</t>
    </r>
    <r>
      <rPr>
        <sz val="15"/>
        <color rgb="FF000000"/>
        <rFont val="HCI Poppy"/>
        <family val="2"/>
      </rPr>
      <t xml:space="preserve">, </t>
    </r>
    <r>
      <rPr>
        <sz val="15"/>
        <color rgb="FF000000"/>
        <rFont val="휴먼명조"/>
        <charset val="129"/>
      </rPr>
      <t>고용보험</t>
    </r>
    <r>
      <rPr>
        <sz val="15"/>
        <color rgb="FF000000"/>
        <rFont val="HCI Poppy"/>
        <family val="2"/>
      </rPr>
      <t>,</t>
    </r>
    <r>
      <rPr>
        <sz val="15"/>
        <color rgb="FF000000"/>
        <rFont val="맑은 고딕"/>
        <family val="3"/>
        <charset val="129"/>
        <scheme val="minor"/>
      </rPr>
      <t xml:space="preserve"> </t>
    </r>
    <r>
      <rPr>
        <sz val="15"/>
        <color rgb="FF000000"/>
        <rFont val="휴먼명조"/>
        <charset val="129"/>
      </rPr>
      <t>산업재해보상보험</t>
    </r>
    <r>
      <rPr>
        <sz val="15"/>
        <color rgb="FF000000"/>
        <rFont val="HCI Poppy"/>
        <family val="2"/>
      </rPr>
      <t xml:space="preserve">) </t>
    </r>
    <r>
      <rPr>
        <sz val="15"/>
        <color rgb="FF000000"/>
        <rFont val="휴먼명조"/>
        <charset val="129"/>
      </rPr>
      <t>포함 가능</t>
    </r>
    <phoneticPr fontId="1" type="noConversion"/>
  </si>
  <si>
    <r>
      <t xml:space="preserve">   - </t>
    </r>
    <r>
      <rPr>
        <sz val="15"/>
        <color rgb="FF000000"/>
        <rFont val="휴먼명조"/>
        <charset val="129"/>
      </rPr>
      <t>운영기관이 청년재단 전담직원의 퇴직금</t>
    </r>
    <r>
      <rPr>
        <sz val="15"/>
        <color rgb="FF000000"/>
        <rFont val="맑은 고딕"/>
        <family val="3"/>
        <charset val="129"/>
        <scheme val="minor"/>
      </rPr>
      <t xml:space="preserve"> </t>
    </r>
    <r>
      <rPr>
        <sz val="15"/>
        <color rgb="FF000000"/>
        <rFont val="휴먼명조"/>
        <charset val="129"/>
      </rPr>
      <t>지급을 위하여 퇴직급여를</t>
    </r>
    <r>
      <rPr>
        <sz val="15"/>
        <color rgb="FF000000"/>
        <rFont val="맑은 고딕"/>
        <family val="3"/>
        <charset val="129"/>
        <scheme val="minor"/>
      </rPr>
      <t xml:space="preserve"> </t>
    </r>
    <r>
      <rPr>
        <sz val="15"/>
        <color rgb="FF000000"/>
        <rFont val="휴먼명조"/>
        <charset val="129"/>
      </rPr>
      <t>적립할 경우</t>
    </r>
    <r>
      <rPr>
        <sz val="15"/>
        <color rgb="FF000000"/>
        <rFont val="맑은 고딕"/>
        <family val="3"/>
        <charset val="129"/>
        <scheme val="minor"/>
      </rPr>
      <t xml:space="preserve"> </t>
    </r>
    <r>
      <rPr>
        <sz val="15"/>
        <color rgb="FF000000"/>
        <rFont val="휴먼명조"/>
        <charset val="129"/>
      </rPr>
      <t>동 비용은 인건비로 인정</t>
    </r>
    <phoneticPr fontId="1" type="noConversion"/>
  </si>
  <si>
    <r>
      <t xml:space="preserve">   - </t>
    </r>
    <r>
      <rPr>
        <sz val="14"/>
        <color rgb="FF000000"/>
        <rFont val="휴먼명조"/>
        <charset val="129"/>
      </rPr>
      <t xml:space="preserve">임시직에 대한 보수는 인건비가 아닌 </t>
    </r>
    <r>
      <rPr>
        <sz val="14"/>
        <color rgb="FF000000"/>
        <rFont val="HCI Poppy"/>
        <family val="2"/>
      </rPr>
      <t>‘</t>
    </r>
    <r>
      <rPr>
        <sz val="14"/>
        <color rgb="FF000000"/>
        <rFont val="휴먼명조"/>
        <charset val="129"/>
      </rPr>
      <t>기타직보수</t>
    </r>
    <r>
      <rPr>
        <sz val="14"/>
        <color rgb="FF000000"/>
        <rFont val="HCI Poppy"/>
        <family val="2"/>
      </rPr>
      <t>’</t>
    </r>
    <r>
      <rPr>
        <sz val="14"/>
        <color rgb="FF000000"/>
        <rFont val="휴먼명조"/>
        <charset val="129"/>
      </rPr>
      <t xml:space="preserve">에 편성 </t>
    </r>
    <phoneticPr fontId="1" type="noConversion"/>
  </si>
  <si>
    <r>
      <t xml:space="preserve">   - </t>
    </r>
    <r>
      <rPr>
        <sz val="14"/>
        <color rgb="FF000000"/>
        <rFont val="휴먼명조"/>
        <charset val="129"/>
      </rPr>
      <t>일시적으로 발생하는 속기</t>
    </r>
    <r>
      <rPr>
        <sz val="14"/>
        <color rgb="FF000000"/>
        <rFont val="HCI Poppy"/>
        <family val="2"/>
      </rPr>
      <t xml:space="preserve">, </t>
    </r>
    <r>
      <rPr>
        <sz val="14"/>
        <color rgb="FF000000"/>
        <rFont val="휴먼명조"/>
        <charset val="129"/>
      </rPr>
      <t>자문 등 업무수행 과정에서 소규모적으로</t>
    </r>
    <r>
      <rPr>
        <sz val="14"/>
        <color rgb="FF000000"/>
        <rFont val="맑은 고딕"/>
        <family val="3"/>
        <charset val="129"/>
        <scheme val="minor"/>
      </rPr>
      <t xml:space="preserve"> </t>
    </r>
    <r>
      <rPr>
        <sz val="14"/>
        <color rgb="FF000000"/>
        <rFont val="휴먼명조"/>
        <charset val="129"/>
      </rPr>
      <t>발생하는 각종 용역제공에 대한 대가는 일반수용비로 편성</t>
    </r>
    <phoneticPr fontId="1" type="noConversion"/>
  </si>
  <si>
    <r>
      <rPr>
        <b/>
        <sz val="13"/>
        <color rgb="FF000000"/>
        <rFont val="맑은 고딕"/>
        <family val="3"/>
        <charset val="129"/>
      </rPr>
      <t xml:space="preserve">         </t>
    </r>
    <r>
      <rPr>
        <b/>
        <sz val="13"/>
        <color rgb="FF000000"/>
        <rFont val="한양중고딕"/>
        <family val="3"/>
        <charset val="129"/>
      </rPr>
      <t>《유의사항》</t>
    </r>
    <phoneticPr fontId="1" type="noConversion"/>
  </si>
  <si>
    <r>
      <rPr>
        <sz val="12"/>
        <color rgb="FF000000"/>
        <rFont val="맑은 고딕"/>
        <family val="3"/>
        <charset val="129"/>
      </rPr>
      <t xml:space="preserve">         </t>
    </r>
    <r>
      <rPr>
        <sz val="12"/>
        <color rgb="FF000000"/>
        <rFont val="Segoe UI Symbol"/>
        <family val="3"/>
      </rPr>
      <t>①</t>
    </r>
    <r>
      <rPr>
        <sz val="12"/>
        <color rgb="FF000000"/>
        <rFont val="한양중고딕"/>
        <family val="3"/>
        <charset val="129"/>
      </rPr>
      <t xml:space="preserve"> 전담직원의 근무상황 및 근무기간 별 수행업무를 명확히 관리할 것</t>
    </r>
    <phoneticPr fontId="1" type="noConversion"/>
  </si>
  <si>
    <r>
      <rPr>
        <sz val="12"/>
        <color rgb="FF000000"/>
        <rFont val="맑은 고딕"/>
        <family val="3"/>
        <charset val="129"/>
      </rPr>
      <t xml:space="preserve">         </t>
    </r>
    <r>
      <rPr>
        <sz val="12"/>
        <color rgb="FF000000"/>
        <rFont val="Segoe UI Symbol"/>
        <family val="3"/>
      </rPr>
      <t>②</t>
    </r>
    <r>
      <rPr>
        <sz val="12"/>
        <color rgb="FF000000"/>
        <rFont val="한양중고딕"/>
        <family val="3"/>
        <charset val="129"/>
      </rPr>
      <t xml:space="preserve"> 당해연도 사업에 필요하지 않은 근무기간은 불인정</t>
    </r>
    <phoneticPr fontId="1" type="noConversion"/>
  </si>
  <si>
    <r>
      <rPr>
        <sz val="12"/>
        <color rgb="FF000000"/>
        <rFont val="맑은 고딕"/>
        <family val="3"/>
        <charset val="129"/>
      </rPr>
      <t xml:space="preserve">         </t>
    </r>
    <r>
      <rPr>
        <sz val="12"/>
        <color rgb="FF000000"/>
        <rFont val="Segoe UI Symbol"/>
        <family val="3"/>
      </rPr>
      <t>③</t>
    </r>
    <r>
      <rPr>
        <sz val="12"/>
        <color rgb="FF000000"/>
        <rFont val="한양중고딕"/>
        <family val="3"/>
        <charset val="129"/>
      </rPr>
      <t xml:space="preserve"> 전담직원의 업무를 외부기관에 위탁하는 것은 금지</t>
    </r>
    <phoneticPr fontId="1" type="noConversion"/>
  </si>
  <si>
    <r>
      <rPr>
        <sz val="12"/>
        <color rgb="FF000000"/>
        <rFont val="맑은 고딕"/>
        <family val="3"/>
        <charset val="129"/>
      </rPr>
      <t xml:space="preserve">         </t>
    </r>
    <r>
      <rPr>
        <sz val="12"/>
        <color rgb="FF000000"/>
        <rFont val="Segoe UI Symbol"/>
        <family val="3"/>
      </rPr>
      <t>④</t>
    </r>
    <r>
      <rPr>
        <sz val="12"/>
        <color rgb="FF000000"/>
        <rFont val="한양중고딕"/>
        <family val="3"/>
        <charset val="129"/>
      </rPr>
      <t xml:space="preserve"> 명기된 내용 외의 항목은 인정 불가</t>
    </r>
    <phoneticPr fontId="1" type="noConversion"/>
  </si>
  <si>
    <t xml:space="preserve"> ○ 일반수용비</t>
    <phoneticPr fontId="1" type="noConversion"/>
  </si>
  <si>
    <r>
      <t xml:space="preserve">   - </t>
    </r>
    <r>
      <rPr>
        <sz val="15"/>
        <color rgb="FF000000"/>
        <rFont val="휴먼명조"/>
        <charset val="129"/>
      </rPr>
      <t>운영기관은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참여청년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모집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및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사업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홍보를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위하여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신문</t>
    </r>
    <r>
      <rPr>
        <sz val="15"/>
        <color rgb="FF000000"/>
        <rFont val="HCI Poppy"/>
        <family val="2"/>
      </rPr>
      <t xml:space="preserve">, </t>
    </r>
    <r>
      <rPr>
        <sz val="15"/>
        <color rgb="FF000000"/>
        <rFont val="휴먼명조"/>
        <charset val="129"/>
      </rPr>
      <t>방송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등</t>
    </r>
    <r>
      <rPr>
        <sz val="15"/>
        <color rgb="FF000000"/>
        <rFont val="HCI Poppy"/>
        <family val="3"/>
        <charset val="129"/>
      </rPr>
      <t xml:space="preserve"> </t>
    </r>
    <r>
      <rPr>
        <sz val="15"/>
        <color rgb="FF000000"/>
        <rFont val="휴먼명조"/>
        <charset val="129"/>
      </rPr>
      <t>언론매체를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활용한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광고비용</t>
    </r>
    <r>
      <rPr>
        <sz val="15"/>
        <color rgb="FF000000"/>
        <rFont val="HCI Poppy"/>
        <family val="2"/>
      </rPr>
      <t xml:space="preserve">, </t>
    </r>
    <r>
      <rPr>
        <sz val="15"/>
        <color rgb="FF000000"/>
        <rFont val="휴먼명조"/>
        <charset val="129"/>
      </rPr>
      <t>현수막</t>
    </r>
    <r>
      <rPr>
        <sz val="15"/>
        <color rgb="FF000000"/>
        <rFont val="HCI Poppy"/>
        <family val="2"/>
      </rPr>
      <t xml:space="preserve">, </t>
    </r>
    <r>
      <rPr>
        <sz val="15"/>
        <color rgb="FF000000"/>
        <rFont val="휴먼명조"/>
        <charset val="129"/>
      </rPr>
      <t>카탈로그</t>
    </r>
    <r>
      <rPr>
        <sz val="15"/>
        <color rgb="FF000000"/>
        <rFont val="HCI Poppy"/>
        <family val="2"/>
      </rPr>
      <t xml:space="preserve">, </t>
    </r>
    <r>
      <rPr>
        <sz val="15"/>
        <color rgb="FF000000"/>
        <rFont val="휴먼명조"/>
        <charset val="129"/>
      </rPr>
      <t>리플릿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등의</t>
    </r>
    <r>
      <rPr>
        <sz val="15"/>
        <color rgb="FF000000"/>
        <rFont val="HCI Poppy"/>
        <family val="3"/>
        <charset val="129"/>
      </rPr>
      <t xml:space="preserve"> </t>
    </r>
    <r>
      <rPr>
        <sz val="15"/>
        <color rgb="FF000000"/>
        <rFont val="휴먼명조"/>
        <charset val="129"/>
      </rPr>
      <t>제작비용</t>
    </r>
    <r>
      <rPr>
        <sz val="15"/>
        <color rgb="FF000000"/>
        <rFont val="HCI Poppy"/>
        <family val="2"/>
      </rPr>
      <t xml:space="preserve">, </t>
    </r>
    <r>
      <rPr>
        <sz val="15"/>
        <color rgb="FF000000"/>
        <rFont val="휴먼명조"/>
        <charset val="129"/>
      </rPr>
      <t>기념품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제작비용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등으로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사용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가능</t>
    </r>
    <phoneticPr fontId="1" type="noConversion"/>
  </si>
  <si>
    <r>
      <t xml:space="preserve">      * 홍보비는 간접사업비 총액의 10% 초과 불가하나, 단 사업진행 상황에 따라 재단의 승인을 득하여 초과 사용가능</t>
    </r>
    <r>
      <rPr>
        <sz val="13"/>
        <color rgb="FF000000"/>
        <rFont val="한양중고딕"/>
        <family val="3"/>
      </rPr>
      <t xml:space="preserve"> </t>
    </r>
    <phoneticPr fontId="1" type="noConversion"/>
  </si>
  <si>
    <r>
      <t xml:space="preserve">   - </t>
    </r>
    <r>
      <rPr>
        <sz val="15"/>
        <color rgb="FF000000"/>
        <rFont val="휴먼명조"/>
        <charset val="129"/>
      </rPr>
      <t>기념품을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구입할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경우에는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운영기관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내부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규정에</t>
    </r>
    <r>
      <rPr>
        <sz val="15"/>
        <color rgb="FF000000"/>
        <rFont val="HCI Poppy"/>
        <family val="3"/>
        <charset val="129"/>
      </rPr>
      <t xml:space="preserve"> </t>
    </r>
    <r>
      <rPr>
        <sz val="15"/>
        <color rgb="FF000000"/>
        <rFont val="휴먼명조"/>
        <charset val="129"/>
      </rPr>
      <t>의하되</t>
    </r>
    <r>
      <rPr>
        <sz val="15"/>
        <color rgb="FF000000"/>
        <rFont val="HCI Poppy"/>
        <family val="2"/>
      </rPr>
      <t>, 3</t>
    </r>
    <r>
      <rPr>
        <sz val="15"/>
        <color rgb="FF000000"/>
        <rFont val="휴먼명조"/>
        <charset val="129"/>
      </rPr>
      <t>만원</t>
    </r>
    <r>
      <rPr>
        <sz val="15"/>
        <color rgb="FF000000"/>
        <rFont val="HCI Poppy"/>
        <family val="3"/>
        <charset val="129"/>
      </rPr>
      <t xml:space="preserve"> </t>
    </r>
    <r>
      <rPr>
        <sz val="15"/>
        <color rgb="FF000000"/>
        <rFont val="휴먼명조"/>
        <charset val="129"/>
      </rPr>
      <t>이하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상당의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물품에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한하며</t>
    </r>
    <r>
      <rPr>
        <sz val="15"/>
        <color rgb="FF000000"/>
        <rFont val="HCI Poppy"/>
        <family val="2"/>
      </rPr>
      <t xml:space="preserve">, </t>
    </r>
    <r>
      <rPr>
        <sz val="15"/>
        <color rgb="FF000000"/>
        <rFont val="휴먼명조"/>
        <charset val="129"/>
      </rPr>
      <t>현금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및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상품권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등으로는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집행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불가</t>
    </r>
    <phoneticPr fontId="1" type="noConversion"/>
  </si>
  <si>
    <t xml:space="preserve">      * 청년 멘토링, 강의 등 제작소특화프로그램 진행에 소요되는 부대비용은 직접사업비에서 집행</t>
    <phoneticPr fontId="1" type="noConversion"/>
  </si>
  <si>
    <r>
      <rPr>
        <sz val="12"/>
        <color rgb="FF000000"/>
        <rFont val="맑은 고딕"/>
        <family val="3"/>
        <charset val="129"/>
      </rPr>
      <t xml:space="preserve">         </t>
    </r>
    <r>
      <rPr>
        <sz val="12"/>
        <color rgb="FF000000"/>
        <rFont val="Segoe UI Symbol"/>
        <family val="3"/>
      </rPr>
      <t>①</t>
    </r>
    <r>
      <rPr>
        <sz val="12"/>
        <color rgb="FF000000"/>
        <rFont val="한양중고딕"/>
        <family val="3"/>
        <charset val="129"/>
      </rPr>
      <t xml:space="preserve"> 홍보물품의 구입, 배부, 잔여량 관리를 위한 관리대장 운용할 것</t>
    </r>
    <phoneticPr fontId="1" type="noConversion"/>
  </si>
  <si>
    <r>
      <rPr>
        <sz val="12"/>
        <color rgb="FF000000"/>
        <rFont val="맑은 고딕"/>
        <family val="3"/>
        <charset val="129"/>
      </rPr>
      <t xml:space="preserve">         </t>
    </r>
    <r>
      <rPr>
        <sz val="12"/>
        <color rgb="FF000000"/>
        <rFont val="Segoe UI Symbol"/>
        <family val="3"/>
      </rPr>
      <t>②</t>
    </r>
    <r>
      <rPr>
        <sz val="12"/>
        <color rgb="FF000000"/>
        <rFont val="한양중고딕"/>
        <family val="3"/>
        <charset val="129"/>
      </rPr>
      <t xml:space="preserve"> 홍보물품의 권면에 사업명을 표시하여 배부</t>
    </r>
    <phoneticPr fontId="1" type="noConversion"/>
  </si>
  <si>
    <r>
      <rPr>
        <sz val="12"/>
        <color rgb="FF000000"/>
        <rFont val="맑은 고딕"/>
        <family val="3"/>
        <charset val="129"/>
      </rPr>
      <t xml:space="preserve">         </t>
    </r>
    <r>
      <rPr>
        <sz val="12"/>
        <color rgb="FF000000"/>
        <rFont val="Segoe UI Symbol"/>
        <family val="3"/>
      </rPr>
      <t>③</t>
    </r>
    <r>
      <rPr>
        <sz val="12"/>
        <color rgb="FF000000"/>
        <rFont val="한양중고딕"/>
        <family val="3"/>
        <charset val="129"/>
      </rPr>
      <t xml:space="preserve"> 당해 사업을 위한 홍보가 아닌 운영기관 홍보비용으로 지출 불가</t>
    </r>
    <phoneticPr fontId="1" type="noConversion"/>
  </si>
  <si>
    <r>
      <t xml:space="preserve">   - </t>
    </r>
    <r>
      <rPr>
        <sz val="15"/>
        <color rgb="FF000000"/>
        <rFont val="휴먼명조"/>
        <charset val="129"/>
      </rPr>
      <t>설문지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및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사업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홍보를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위한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홍보자료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배포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등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사업과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관련한</t>
    </r>
    <r>
      <rPr>
        <sz val="15"/>
        <color rgb="FF000000"/>
        <rFont val="HCI Poppy"/>
        <family val="3"/>
        <charset val="129"/>
      </rPr>
      <t xml:space="preserve"> </t>
    </r>
    <r>
      <rPr>
        <sz val="15"/>
        <color rgb="FF000000"/>
        <rFont val="휴먼명조"/>
        <charset val="129"/>
      </rPr>
      <t>우편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및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통신비용에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사업비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사용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가능</t>
    </r>
    <r>
      <rPr>
        <sz val="15"/>
        <color rgb="FF000000"/>
        <rFont val="HCI Poppy"/>
        <family val="3"/>
        <charset val="129"/>
      </rPr>
      <t xml:space="preserve"> </t>
    </r>
    <phoneticPr fontId="1" type="noConversion"/>
  </si>
  <si>
    <r>
      <t xml:space="preserve">   - </t>
    </r>
    <r>
      <rPr>
        <sz val="15"/>
        <color rgb="FF000000"/>
        <rFont val="휴먼명조"/>
        <charset val="129"/>
      </rPr>
      <t>인쇄제본비</t>
    </r>
    <r>
      <rPr>
        <sz val="15"/>
        <color rgb="FF000000"/>
        <rFont val="HCI Poppy"/>
        <family val="2"/>
      </rPr>
      <t xml:space="preserve">, </t>
    </r>
    <r>
      <rPr>
        <sz val="15"/>
        <color rgb="FF000000"/>
        <rFont val="휴먼명조"/>
        <charset val="129"/>
      </rPr>
      <t xml:space="preserve">인쇄용지 및 인쇄용 토너 구입비 등으로 사용 </t>
    </r>
    <phoneticPr fontId="1" type="noConversion"/>
  </si>
  <si>
    <r>
      <t xml:space="preserve">   - </t>
    </r>
    <r>
      <rPr>
        <sz val="15"/>
        <color rgb="FF000000"/>
        <rFont val="휴먼명조"/>
        <charset val="129"/>
      </rPr>
      <t xml:space="preserve">사업종료 전 </t>
    </r>
    <r>
      <rPr>
        <sz val="15"/>
        <color rgb="FF000000"/>
        <rFont val="HCI Poppy"/>
        <family val="2"/>
      </rPr>
      <t>1</t>
    </r>
    <r>
      <rPr>
        <sz val="15"/>
        <color rgb="FF000000"/>
        <rFont val="휴먼명조"/>
        <charset val="129"/>
      </rPr>
      <t>개월 이내에</t>
    </r>
    <r>
      <rPr>
        <sz val="15"/>
        <color rgb="FF000000"/>
        <rFont val="맑은 고딕"/>
        <family val="3"/>
        <charset val="129"/>
        <scheme val="minor"/>
      </rPr>
      <t xml:space="preserve"> </t>
    </r>
    <r>
      <rPr>
        <sz val="15"/>
        <color rgb="FF000000"/>
        <rFont val="휴먼명조"/>
        <charset val="129"/>
      </rPr>
      <t>과다하게 지출하는 경우 불인정</t>
    </r>
    <phoneticPr fontId="1" type="noConversion"/>
  </si>
  <si>
    <r>
      <t xml:space="preserve">   - </t>
    </r>
    <r>
      <rPr>
        <sz val="15"/>
        <color rgb="FF000000"/>
        <rFont val="휴먼명조"/>
        <charset val="129"/>
      </rPr>
      <t>공통경비집행액은 객관적인 자료를 통해 과정별 소요내역 및 비용 산출 등 기준을 마련하고 지출 및 증빙자료 관리</t>
    </r>
    <phoneticPr fontId="1" type="noConversion"/>
  </si>
  <si>
    <t xml:space="preserve">      * 운영기관 내부 직원은 수당 지급 불가</t>
    <phoneticPr fontId="1" type="noConversion"/>
  </si>
  <si>
    <r>
      <t xml:space="preserve">   - </t>
    </r>
    <r>
      <rPr>
        <sz val="15"/>
        <color rgb="FF191919"/>
        <rFont val="휴먼명조"/>
        <charset val="129"/>
      </rPr>
      <t>외부인사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등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회의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식비는</t>
    </r>
    <r>
      <rPr>
        <sz val="15"/>
        <color rgb="FF191919"/>
        <rFont val="HCI Poppy"/>
        <family val="2"/>
      </rPr>
      <t xml:space="preserve"> 1</t>
    </r>
    <r>
      <rPr>
        <sz val="15"/>
        <color rgb="FF191919"/>
        <rFont val="휴먼명조"/>
        <charset val="129"/>
      </rPr>
      <t>인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최대</t>
    </r>
    <r>
      <rPr>
        <sz val="15"/>
        <color rgb="FF191919"/>
        <rFont val="HCI Poppy"/>
        <family val="2"/>
      </rPr>
      <t xml:space="preserve"> 1.5</t>
    </r>
    <r>
      <rPr>
        <sz val="15"/>
        <color rgb="FF191919"/>
        <rFont val="휴먼명조"/>
        <charset val="129"/>
      </rPr>
      <t>만원을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초과할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수</t>
    </r>
    <r>
      <rPr>
        <sz val="15"/>
        <color rgb="FF191919"/>
        <rFont val="HCI Poppy"/>
        <family val="2"/>
      </rPr>
      <t xml:space="preserve"> </t>
    </r>
    <r>
      <rPr>
        <sz val="15"/>
        <color rgb="FF191919"/>
        <rFont val="휴먼명조"/>
        <charset val="129"/>
      </rPr>
      <t>없음</t>
    </r>
    <phoneticPr fontId="1" type="noConversion"/>
  </si>
  <si>
    <r>
      <t xml:space="preserve">      * 수행기관 내부 직원 간 회의는 불인정 (외부인사, 참여기관, 교육기관간의</t>
    </r>
    <r>
      <rPr>
        <sz val="13"/>
        <color rgb="FF191919"/>
        <rFont val="한양중고딕"/>
        <family val="3"/>
      </rPr>
      <t xml:space="preserve"> </t>
    </r>
    <r>
      <rPr>
        <sz val="13"/>
        <color rgb="FF191919"/>
        <rFont val="한양중고딕"/>
        <family val="3"/>
        <charset val="129"/>
      </rPr>
      <t>회의는 가능)</t>
    </r>
    <phoneticPr fontId="1" type="noConversion"/>
  </si>
  <si>
    <r>
      <t xml:space="preserve">   - </t>
    </r>
    <r>
      <rPr>
        <sz val="15"/>
        <color rgb="FF000000"/>
        <rFont val="휴먼명조"/>
        <charset val="129"/>
      </rPr>
      <t>회의비로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사용된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비용은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「청년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다다름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사업」운영과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관련된</t>
    </r>
    <r>
      <rPr>
        <sz val="15"/>
        <color rgb="FF000000"/>
        <rFont val="HCI Poppy"/>
        <family val="3"/>
        <charset val="129"/>
      </rPr>
      <t xml:space="preserve"> </t>
    </r>
    <r>
      <rPr>
        <sz val="15"/>
        <color rgb="FF000000"/>
        <rFont val="휴먼명조"/>
        <charset val="129"/>
      </rPr>
      <t>비용임을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증명할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수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있도록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회의일시</t>
    </r>
    <r>
      <rPr>
        <sz val="15"/>
        <color rgb="FF000000"/>
        <rFont val="HCI Poppy"/>
        <family val="2"/>
      </rPr>
      <t xml:space="preserve">, </t>
    </r>
    <r>
      <rPr>
        <sz val="15"/>
        <color rgb="FF000000"/>
        <rFont val="휴먼명조"/>
        <charset val="129"/>
      </rPr>
      <t>장소</t>
    </r>
    <r>
      <rPr>
        <sz val="15"/>
        <color rgb="FF000000"/>
        <rFont val="HCI Poppy"/>
        <family val="2"/>
      </rPr>
      <t xml:space="preserve">, </t>
    </r>
    <r>
      <rPr>
        <sz val="15"/>
        <color rgb="FF000000"/>
        <rFont val="휴먼명조"/>
        <charset val="129"/>
      </rPr>
      <t>목적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및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참석자</t>
    </r>
    <r>
      <rPr>
        <sz val="15"/>
        <color rgb="FF000000"/>
        <rFont val="HCI Poppy"/>
        <family val="3"/>
        <charset val="129"/>
      </rPr>
      <t xml:space="preserve"> </t>
    </r>
    <r>
      <rPr>
        <sz val="15"/>
        <color rgb="FF000000"/>
        <rFont val="휴먼명조"/>
        <charset val="129"/>
      </rPr>
      <t>서명</t>
    </r>
    <r>
      <rPr>
        <sz val="15"/>
        <color rgb="FF000000"/>
        <rFont val="HCI Poppy"/>
        <family val="3"/>
        <charset val="129"/>
      </rPr>
      <t xml:space="preserve"> </t>
    </r>
    <r>
      <rPr>
        <sz val="15"/>
        <color rgb="FF000000"/>
        <rFont val="휴먼명조"/>
        <charset val="129"/>
      </rPr>
      <t>등이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기록된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회의록이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구비된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경우에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한하여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인정</t>
    </r>
    <phoneticPr fontId="1" type="noConversion"/>
  </si>
  <si>
    <t xml:space="preserve">  ○ 공공요금 및 제세</t>
    <phoneticPr fontId="1" type="noConversion"/>
  </si>
  <si>
    <r>
      <t xml:space="preserve">   - </t>
    </r>
    <r>
      <rPr>
        <sz val="15"/>
        <color rgb="FF000000"/>
        <rFont val="휴먼명조"/>
        <charset val="129"/>
      </rPr>
      <t>사업운영에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필요한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공통경비</t>
    </r>
    <r>
      <rPr>
        <sz val="15"/>
        <color rgb="FF000000"/>
        <rFont val="HCI Poppy"/>
        <family val="2"/>
      </rPr>
      <t>(</t>
    </r>
    <r>
      <rPr>
        <sz val="15"/>
        <color rgb="FF000000"/>
        <rFont val="휴먼명조"/>
        <charset val="129"/>
      </rPr>
      <t>통신요금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등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공공요금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및</t>
    </r>
    <r>
      <rPr>
        <sz val="15"/>
        <color rgb="FF000000"/>
        <rFont val="HCI Poppy"/>
        <family val="3"/>
        <charset val="129"/>
      </rPr>
      <t xml:space="preserve"> </t>
    </r>
    <r>
      <rPr>
        <sz val="15"/>
        <color rgb="FF000000"/>
        <rFont val="휴먼명조"/>
        <charset val="129"/>
      </rPr>
      <t>보험계약에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의한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각종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보험료</t>
    </r>
    <r>
      <rPr>
        <sz val="15"/>
        <color rgb="FF000000"/>
        <rFont val="HCI Poppy"/>
        <family val="2"/>
      </rPr>
      <t>)</t>
    </r>
    <r>
      <rPr>
        <sz val="15"/>
        <color rgb="FF000000"/>
        <rFont val="휴먼명조"/>
        <charset val="129"/>
      </rPr>
      <t>에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한하여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인정</t>
    </r>
    <phoneticPr fontId="1" type="noConversion"/>
  </si>
  <si>
    <r>
      <t xml:space="preserve">   - </t>
    </r>
    <r>
      <rPr>
        <sz val="15"/>
        <color rgb="FF000000"/>
        <rFont val="휴먼명조"/>
        <charset val="129"/>
      </rPr>
      <t>회계감사증빙서류 인쇄비 및 증빙서류 발송우편료에 한하여</t>
    </r>
    <r>
      <rPr>
        <sz val="15"/>
        <color rgb="FF000000"/>
        <rFont val="맑은 고딕"/>
        <family val="3"/>
        <charset val="129"/>
        <scheme val="minor"/>
      </rPr>
      <t xml:space="preserve"> </t>
    </r>
    <r>
      <rPr>
        <sz val="15"/>
        <color rgb="FF000000"/>
        <rFont val="휴먼명조"/>
        <charset val="129"/>
      </rPr>
      <t>사업기간 이후 집행 가능</t>
    </r>
    <phoneticPr fontId="1" type="noConversion"/>
  </si>
  <si>
    <t xml:space="preserve"> ○ 특근매식비</t>
    <phoneticPr fontId="1" type="noConversion"/>
  </si>
  <si>
    <r>
      <t xml:space="preserve">   - </t>
    </r>
    <r>
      <rPr>
        <sz val="15"/>
        <color rgb="FF000000"/>
        <rFont val="휴먼명조"/>
        <charset val="129"/>
      </rPr>
      <t>특근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및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각종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훈련</t>
    </r>
    <r>
      <rPr>
        <sz val="15"/>
        <color rgb="FF000000"/>
        <rFont val="HCI Poppy"/>
        <family val="2"/>
      </rPr>
      <t>·</t>
    </r>
    <r>
      <rPr>
        <sz val="15"/>
        <color rgb="FF000000"/>
        <rFont val="휴먼명조"/>
        <charset val="129"/>
      </rPr>
      <t>행사에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참여하는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직원에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대한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매식비</t>
    </r>
    <phoneticPr fontId="1" type="noConversion"/>
  </si>
  <si>
    <t xml:space="preserve"> ○ 국내여비</t>
    <phoneticPr fontId="1" type="noConversion"/>
  </si>
  <si>
    <r>
      <t xml:space="preserve">   - </t>
    </r>
    <r>
      <rPr>
        <sz val="15"/>
        <color rgb="FF000000"/>
        <rFont val="휴먼명조"/>
        <charset val="129"/>
      </rPr>
      <t>효율적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업무수행을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위하여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출장목적에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따른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출장기간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및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인원을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최소화하고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유사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또는</t>
    </r>
    <r>
      <rPr>
        <sz val="15"/>
        <color rgb="FF000000"/>
        <rFont val="HCI Poppy"/>
        <family val="3"/>
        <charset val="129"/>
      </rPr>
      <t xml:space="preserve"> </t>
    </r>
    <r>
      <rPr>
        <sz val="15"/>
        <color rgb="FF000000"/>
        <rFont val="휴먼명조"/>
        <charset val="129"/>
      </rPr>
      <t>관련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업무에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대하여는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통합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실시함으로써</t>
    </r>
    <r>
      <rPr>
        <sz val="15"/>
        <color rgb="FF000000"/>
        <rFont val="HCI Poppy"/>
        <family val="3"/>
        <charset val="129"/>
      </rPr>
      <t xml:space="preserve"> </t>
    </r>
    <r>
      <rPr>
        <sz val="15"/>
        <color rgb="FF000000"/>
        <rFont val="휴먼명조"/>
        <charset val="129"/>
      </rPr>
      <t>출장회수를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최소한으로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해야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함</t>
    </r>
    <phoneticPr fontId="1" type="noConversion"/>
  </si>
  <si>
    <r>
      <t xml:space="preserve"> ○ 국내여비는 운영기관에 한하여 지원함을 원칙으로하고</t>
    </r>
    <r>
      <rPr>
        <b/>
        <sz val="15"/>
        <color rgb="FF000000"/>
        <rFont val="휴먼명조"/>
        <family val="2"/>
        <charset val="129"/>
      </rPr>
      <t>,</t>
    </r>
    <r>
      <rPr>
        <b/>
        <sz val="15"/>
        <color rgb="FF000000"/>
        <rFont val="휴먼명조"/>
        <family val="3"/>
        <charset val="129"/>
      </rPr>
      <t xml:space="preserve"> </t>
    </r>
    <r>
      <rPr>
        <b/>
        <sz val="15"/>
        <color rgb="FF000000"/>
        <rFont val="휴먼명조"/>
        <charset val="129"/>
      </rPr>
      <t>참여청년 모집 및 프로그램 진행 등 출장 목적 달성을</t>
    </r>
    <r>
      <rPr>
        <b/>
        <sz val="15"/>
        <color rgb="FF000000"/>
        <rFont val="휴먼명조"/>
        <family val="3"/>
        <charset val="129"/>
      </rPr>
      <t xml:space="preserve"> </t>
    </r>
    <r>
      <rPr>
        <b/>
        <sz val="15"/>
        <color rgb="FF000000"/>
        <rFont val="휴먼명조"/>
        <charset val="129"/>
      </rPr>
      <t>위해</t>
    </r>
    <r>
      <rPr>
        <b/>
        <sz val="15"/>
        <color rgb="FF000000"/>
        <rFont val="휴먼명조"/>
        <family val="3"/>
        <charset val="129"/>
      </rPr>
      <t xml:space="preserve"> </t>
    </r>
    <r>
      <rPr>
        <b/>
        <sz val="15"/>
        <color rgb="FF000000"/>
        <rFont val="휴먼명조"/>
        <charset val="129"/>
      </rPr>
      <t>유관기관과 공동으로 수행하는 것이 효과적일 경우 동 비용은</t>
    </r>
    <r>
      <rPr>
        <b/>
        <sz val="15"/>
        <color rgb="FF000000"/>
        <rFont val="휴먼명조"/>
        <family val="3"/>
        <charset val="129"/>
      </rPr>
      <t xml:space="preserve"> </t>
    </r>
    <r>
      <rPr>
        <b/>
        <sz val="15"/>
        <color rgb="FF000000"/>
        <rFont val="휴먼명조"/>
        <charset val="129"/>
      </rPr>
      <t>인정 가능</t>
    </r>
    <phoneticPr fontId="1" type="noConversion"/>
  </si>
  <si>
    <r>
      <rPr>
        <sz val="12"/>
        <color rgb="FF000000"/>
        <rFont val="맑은 고딕"/>
        <family val="3"/>
        <charset val="129"/>
      </rPr>
      <t xml:space="preserve">         </t>
    </r>
    <r>
      <rPr>
        <sz val="12"/>
        <color rgb="FF000000"/>
        <rFont val="Segoe UI Symbol"/>
        <family val="3"/>
      </rPr>
      <t>▲</t>
    </r>
    <r>
      <rPr>
        <sz val="12"/>
        <color rgb="FF000000"/>
        <rFont val="한양중고딕"/>
        <family val="3"/>
        <charset val="129"/>
      </rPr>
      <t xml:space="preserve"> 당해 출장사실을 증명할 수 있는 현지 지출 증빙 등을 구비</t>
    </r>
    <phoneticPr fontId="1" type="noConversion"/>
  </si>
  <si>
    <r>
      <rPr>
        <sz val="12"/>
        <color rgb="FF000000"/>
        <rFont val="맑은 고딕"/>
        <family val="3"/>
        <charset val="129"/>
      </rPr>
      <t xml:space="preserve">         </t>
    </r>
    <r>
      <rPr>
        <sz val="12"/>
        <color rgb="FF000000"/>
        <rFont val="Segoe UI Symbol"/>
        <family val="3"/>
      </rPr>
      <t>▲</t>
    </r>
    <r>
      <rPr>
        <sz val="12"/>
        <color rgb="FF000000"/>
        <rFont val="한양중고딕"/>
        <family val="3"/>
        <charset val="129"/>
      </rPr>
      <t xml:space="preserve"> 출장 목적 및 결과가 당해 사업추진과 연관성이 있어야 함</t>
    </r>
    <phoneticPr fontId="1" type="noConversion"/>
  </si>
  <si>
    <r>
      <rPr>
        <sz val="12"/>
        <color rgb="FF000000"/>
        <rFont val="맑은 고딕"/>
        <family val="3"/>
        <charset val="129"/>
      </rPr>
      <t xml:space="preserve">         </t>
    </r>
    <r>
      <rPr>
        <sz val="12"/>
        <color rgb="FF000000"/>
        <rFont val="Segoe UI Symbol"/>
        <family val="3"/>
      </rPr>
      <t>▲</t>
    </r>
    <r>
      <rPr>
        <sz val="12"/>
        <color rgb="FF000000"/>
        <rFont val="한양중고딕"/>
        <family val="3"/>
        <charset val="129"/>
      </rPr>
      <t xml:space="preserve"> 해외출장은 집행 불가</t>
    </r>
    <phoneticPr fontId="1" type="noConversion"/>
  </si>
  <si>
    <t xml:space="preserve"> ○ 사업추진비</t>
    <phoneticPr fontId="1" type="noConversion"/>
  </si>
  <si>
    <r>
      <t xml:space="preserve">   - </t>
    </r>
    <r>
      <rPr>
        <sz val="15"/>
        <color rgb="FF000000"/>
        <rFont val="휴먼명조"/>
        <charset val="129"/>
      </rPr>
      <t>외부기관</t>
    </r>
    <r>
      <rPr>
        <sz val="15"/>
        <color rgb="FF000000"/>
        <rFont val="HCI Poppy"/>
        <family val="2"/>
      </rPr>
      <t>(</t>
    </r>
    <r>
      <rPr>
        <sz val="15"/>
        <color rgb="FF000000"/>
        <rFont val="휴먼명조"/>
        <charset val="129"/>
      </rPr>
      <t>인사</t>
    </r>
    <r>
      <rPr>
        <sz val="15"/>
        <color rgb="FF000000"/>
        <rFont val="HCI Poppy"/>
        <family val="2"/>
      </rPr>
      <t xml:space="preserve">) </t>
    </r>
    <r>
      <rPr>
        <sz val="15"/>
        <color rgb="FF000000"/>
        <rFont val="휴먼명조"/>
        <charset val="129"/>
      </rPr>
      <t>초청</t>
    </r>
    <r>
      <rPr>
        <sz val="15"/>
        <color rgb="FF000000"/>
        <rFont val="HCI Poppy"/>
        <family val="3"/>
        <charset val="129"/>
      </rPr>
      <t xml:space="preserve"> </t>
    </r>
    <r>
      <rPr>
        <sz val="15"/>
        <color rgb="FF000000"/>
        <rFont val="휴먼명조"/>
        <charset val="129"/>
      </rPr>
      <t>공식회의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및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행사경비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등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당해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사업의</t>
    </r>
    <r>
      <rPr>
        <sz val="15"/>
        <color rgb="FF000000"/>
        <rFont val="HCI Poppy"/>
        <family val="3"/>
        <charset val="129"/>
      </rPr>
      <t xml:space="preserve"> </t>
    </r>
    <r>
      <rPr>
        <sz val="15"/>
        <color rgb="FF000000"/>
        <rFont val="휴먼명조"/>
        <charset val="129"/>
      </rPr>
      <t>효율적인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추진을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위해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소요되는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경비로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사업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목적에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부합되도록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사용</t>
    </r>
    <phoneticPr fontId="1" type="noConversion"/>
  </si>
  <si>
    <t xml:space="preserve">      * 모든 지출은 지출결의서(품의서)와 함께 사용내역 및 증빙자료 구비</t>
    <phoneticPr fontId="1" type="noConversion"/>
  </si>
  <si>
    <r>
      <t xml:space="preserve">   - </t>
    </r>
    <r>
      <rPr>
        <sz val="15"/>
        <color rgb="FF000000"/>
        <rFont val="휴먼명조"/>
        <charset val="129"/>
      </rPr>
      <t>사업추진비는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전체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운영인건비의</t>
    </r>
    <r>
      <rPr>
        <sz val="15"/>
        <color rgb="FF000000"/>
        <rFont val="HCI Poppy"/>
        <family val="2"/>
      </rPr>
      <t xml:space="preserve"> 5%</t>
    </r>
    <r>
      <rPr>
        <sz val="15"/>
        <color rgb="FF000000"/>
        <rFont val="휴먼명조"/>
        <charset val="129"/>
      </rPr>
      <t>이내에서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사용</t>
    </r>
    <phoneticPr fontId="1" type="noConversion"/>
  </si>
  <si>
    <t xml:space="preserve"> ○ 기타직보수</t>
    <phoneticPr fontId="1" type="noConversion"/>
  </si>
  <si>
    <r>
      <t xml:space="preserve">   - </t>
    </r>
    <r>
      <rPr>
        <sz val="15"/>
        <color rgb="FF000000"/>
        <rFont val="휴먼명조"/>
        <charset val="129"/>
      </rPr>
      <t>정원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외로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기관운영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및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일시적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사업수행을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위하여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수개월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또는</t>
    </r>
    <r>
      <rPr>
        <sz val="15"/>
        <color rgb="FF000000"/>
        <rFont val="HCI Poppy"/>
        <family val="3"/>
        <charset val="129"/>
      </rPr>
      <t xml:space="preserve"> </t>
    </r>
    <r>
      <rPr>
        <sz val="15"/>
        <color rgb="FF000000"/>
        <rFont val="휴먼명조"/>
        <charset val="129"/>
      </rPr>
      <t>수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일간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일용으로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고용하는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임시직에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대한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보수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및</t>
    </r>
    <r>
      <rPr>
        <sz val="15"/>
        <color rgb="FF000000"/>
        <rFont val="HCI Poppy"/>
        <family val="2"/>
      </rPr>
      <t xml:space="preserve"> </t>
    </r>
    <r>
      <rPr>
        <sz val="15"/>
        <color rgb="FF000000"/>
        <rFont val="휴먼명조"/>
        <charset val="129"/>
      </rPr>
      <t>법정부담금</t>
    </r>
    <phoneticPr fontId="1" type="noConversion"/>
  </si>
  <si>
    <r>
      <t xml:space="preserve">   - </t>
    </r>
    <r>
      <rPr>
        <sz val="15"/>
        <color rgb="FF000000"/>
        <rFont val="휴먼명조"/>
        <charset val="129"/>
      </rPr>
      <t>자체 컨설팅 비용</t>
    </r>
    <r>
      <rPr>
        <sz val="15"/>
        <color rgb="FF000000"/>
        <rFont val="HCI Poppy"/>
        <family val="2"/>
      </rPr>
      <t xml:space="preserve">, </t>
    </r>
    <r>
      <rPr>
        <sz val="15"/>
        <color rgb="FF000000"/>
        <rFont val="휴먼명조"/>
        <charset val="129"/>
      </rPr>
      <t>시스템 개선비</t>
    </r>
    <r>
      <rPr>
        <sz val="15"/>
        <color rgb="FF000000"/>
        <rFont val="HCI Poppy"/>
        <family val="2"/>
      </rPr>
      <t xml:space="preserve">, </t>
    </r>
    <r>
      <rPr>
        <sz val="15"/>
        <color rgb="FF000000"/>
        <rFont val="휴먼명조"/>
        <charset val="129"/>
      </rPr>
      <t>법률수수료 등 사업 운영과</t>
    </r>
    <r>
      <rPr>
        <sz val="15"/>
        <color rgb="FF000000"/>
        <rFont val="맑은 고딕"/>
        <family val="3"/>
        <charset val="129"/>
        <scheme val="minor"/>
      </rPr>
      <t xml:space="preserve"> </t>
    </r>
    <r>
      <rPr>
        <sz val="15"/>
        <color rgb="FF000000"/>
        <rFont val="휴먼명조"/>
        <charset val="129"/>
      </rPr>
      <t>관련 없는 금액 집행 불가</t>
    </r>
    <phoneticPr fontId="1" type="noConversion"/>
  </si>
  <si>
    <r>
      <t xml:space="preserve">   - </t>
    </r>
    <r>
      <rPr>
        <sz val="15"/>
        <color rgb="FF000000"/>
        <rFont val="휴먼명조"/>
        <charset val="129"/>
      </rPr>
      <t>사업 운영과 관련 없는 직원 교육비용 집행 불가</t>
    </r>
    <phoneticPr fontId="1" type="noConversion"/>
  </si>
  <si>
    <r>
      <t xml:space="preserve">   - </t>
    </r>
    <r>
      <rPr>
        <sz val="15"/>
        <color rgb="FF000000"/>
        <rFont val="휴먼명조"/>
        <charset val="129"/>
      </rPr>
      <t>현물 집행액은 객관적인 자료를 통해 과정 소요내역 및 비용</t>
    </r>
    <r>
      <rPr>
        <sz val="15"/>
        <color rgb="FF000000"/>
        <rFont val="맑은 고딕"/>
        <family val="3"/>
        <charset val="129"/>
        <scheme val="minor"/>
      </rPr>
      <t xml:space="preserve"> </t>
    </r>
    <r>
      <rPr>
        <sz val="15"/>
        <color rgb="FF000000"/>
        <rFont val="휴먼명조"/>
        <charset val="129"/>
      </rPr>
      <t>산출 등 기준을 마련하고 지출 및 증빙자료 관리</t>
    </r>
    <phoneticPr fontId="1" type="noConversion"/>
  </si>
  <si>
    <r>
      <t xml:space="preserve">   - </t>
    </r>
    <r>
      <rPr>
        <sz val="15"/>
        <color rgb="FF000000"/>
        <rFont val="휴먼명조"/>
        <charset val="129"/>
      </rPr>
      <t>사업비를 과다하게 지출하지 않도록 하여야 하며</t>
    </r>
    <r>
      <rPr>
        <sz val="15"/>
        <color rgb="FF000000"/>
        <rFont val="HCI Poppy"/>
        <family val="2"/>
      </rPr>
      <t xml:space="preserve">, </t>
    </r>
    <r>
      <rPr>
        <sz val="15"/>
        <color rgb="FF000000"/>
        <rFont val="휴먼명조"/>
        <charset val="129"/>
      </rPr>
      <t>수의계약을</t>
    </r>
    <r>
      <rPr>
        <sz val="15"/>
        <color rgb="FF000000"/>
        <rFont val="맑은 고딕"/>
        <family val="3"/>
        <charset val="129"/>
        <scheme val="minor"/>
      </rPr>
      <t xml:space="preserve"> </t>
    </r>
    <r>
      <rPr>
        <sz val="15"/>
        <color rgb="FF000000"/>
        <rFont val="휴먼명조"/>
        <charset val="129"/>
      </rPr>
      <t>지양하고 투명하게 거래처를 선정하여 집행</t>
    </r>
    <phoneticPr fontId="1" type="noConversion"/>
  </si>
  <si>
    <r>
      <rPr>
        <b/>
        <sz val="11"/>
        <color rgb="FF191919"/>
        <rFont val="한양중고딕"/>
        <family val="3"/>
        <charset val="129"/>
      </rPr>
      <t>〔강의(특강) 및 컨설팅 지원〕</t>
    </r>
    <r>
      <rPr>
        <sz val="11"/>
        <color rgb="FF191919"/>
        <rFont val="한양중고딕"/>
        <family val="3"/>
        <charset val="129"/>
      </rPr>
      <t>프로그램 커리큘럼, 전문가</t>
    </r>
    <r>
      <rPr>
        <sz val="11"/>
        <color rgb="FF191919"/>
        <rFont val="맑은 고딕"/>
        <family val="3"/>
        <charset val="129"/>
        <scheme val="minor"/>
      </rPr>
      <t xml:space="preserve"> </t>
    </r>
    <r>
      <rPr>
        <sz val="11"/>
        <color rgb="FF191919"/>
        <rFont val="한양중고딕"/>
        <family val="3"/>
        <charset val="129"/>
      </rPr>
      <t xml:space="preserve">이력서, 위탁계약서, 계좌이체증명, 프로그램 운영 및 결과자료, 출결확인증
</t>
    </r>
    <r>
      <rPr>
        <b/>
        <sz val="11"/>
        <color rgb="FF191919"/>
        <rFont val="한양중고딕"/>
        <family val="3"/>
        <charset val="129"/>
      </rPr>
      <t>〔커뮤니티지원〕</t>
    </r>
    <r>
      <rPr>
        <sz val="11"/>
        <color rgb="FF191919"/>
        <rFont val="한양중고딕"/>
        <family val="3"/>
        <charset val="129"/>
      </rPr>
      <t>커뮤니티 운영계획서 및 보고서, 참석확인증</t>
    </r>
    <phoneticPr fontId="1" type="noConversion"/>
  </si>
  <si>
    <r>
      <t>정부</t>
    </r>
    <r>
      <rPr>
        <sz val="11"/>
        <color rgb="FF191919"/>
        <rFont val="Calibri"/>
        <family val="3"/>
      </rPr>
      <t>·</t>
    </r>
    <r>
      <rPr>
        <sz val="11"/>
        <color rgb="FF191919"/>
        <rFont val="한양중고딕"/>
        <family val="3"/>
        <charset val="129"/>
      </rPr>
      <t>지자체/외부기관</t>
    </r>
    <phoneticPr fontId="1" type="noConversion"/>
  </si>
  <si>
    <t>컨설팅 및 강의(특강)지원</t>
    <phoneticPr fontId="1" type="noConversion"/>
  </si>
  <si>
    <t>금융/법률 기초상식</t>
    <phoneticPr fontId="1" type="noConversion"/>
  </si>
  <si>
    <r>
      <t xml:space="preserve">※ 사업비 사용 제한업종은 </t>
    </r>
    <r>
      <rPr>
        <b/>
        <u/>
        <sz val="13"/>
        <color rgb="FF191919"/>
        <rFont val="한양중고딕"/>
        <family val="3"/>
        <charset val="129"/>
      </rPr>
      <t>청년다다름사업 사업비 예산편성 및 집행지침「붙임7 사업비 사용 제한업종」</t>
    </r>
    <r>
      <rPr>
        <sz val="13"/>
        <color rgb="FF191919"/>
        <rFont val="한양중고딕"/>
        <family val="3"/>
        <charset val="129"/>
      </rPr>
      <t xml:space="preserve">, 강사료 및 원고료는 </t>
    </r>
    <r>
      <rPr>
        <b/>
        <u/>
        <sz val="13"/>
        <color rgb="FF191919"/>
        <rFont val="한양중고딕"/>
        <family val="3"/>
        <charset val="129"/>
      </rPr>
      <t>청년다다름사업 사업비 예산편성 및 집행지침「붙임5 외부강사료 및 원고료 지급기준」</t>
    </r>
    <r>
      <rPr>
        <sz val="13"/>
        <color rgb="FF191919"/>
        <rFont val="한양중고딕"/>
        <family val="3"/>
        <charset val="129"/>
      </rPr>
      <t>에 따름</t>
    </r>
    <phoneticPr fontId="1" type="noConversion"/>
  </si>
  <si>
    <r>
      <t xml:space="preserve">   - </t>
    </r>
    <r>
      <rPr>
        <b/>
        <u/>
        <sz val="15"/>
        <color rgb="FF000000"/>
        <rFont val="맑은 고딕"/>
        <family val="2"/>
        <charset val="129"/>
      </rPr>
      <t xml:space="preserve">청년다다름사업 사업비 예산편성 및 집행지침 </t>
    </r>
    <r>
      <rPr>
        <b/>
        <i/>
        <u/>
        <sz val="15"/>
        <color rgb="FF000000"/>
        <rFont val="휴먼명조"/>
        <charset val="129"/>
      </rPr>
      <t>붙임</t>
    </r>
    <r>
      <rPr>
        <b/>
        <i/>
        <u/>
        <sz val="15"/>
        <color rgb="FF000000"/>
        <rFont val="HCI Poppy"/>
        <family val="2"/>
      </rPr>
      <t>6</t>
    </r>
    <r>
      <rPr>
        <sz val="15"/>
        <color rgb="FF000000"/>
        <rFont val="맑은 고딕"/>
        <family val="3"/>
        <charset val="129"/>
        <scheme val="minor"/>
      </rPr>
      <t xml:space="preserve"> </t>
    </r>
    <r>
      <rPr>
        <sz val="15"/>
        <color rgb="FF000000"/>
        <rFont val="휴먼명조"/>
        <charset val="129"/>
      </rPr>
      <t>의거 지원하고</t>
    </r>
    <r>
      <rPr>
        <sz val="15"/>
        <color rgb="FF000000"/>
        <rFont val="맑은 고딕"/>
        <family val="3"/>
        <charset val="129"/>
        <scheme val="minor"/>
      </rPr>
      <t xml:space="preserve"> </t>
    </r>
    <r>
      <rPr>
        <sz val="15"/>
        <color rgb="FF000000"/>
        <rFont val="휴먼명조"/>
        <charset val="129"/>
      </rPr>
      <t>정확한 산출기준에 의하여 산정된</t>
    </r>
    <r>
      <rPr>
        <sz val="15"/>
        <color rgb="FF000000"/>
        <rFont val="맑은 고딕"/>
        <family val="3"/>
        <charset val="129"/>
        <scheme val="minor"/>
      </rPr>
      <t xml:space="preserve"> </t>
    </r>
    <r>
      <rPr>
        <sz val="15"/>
        <color rgb="FF000000"/>
        <rFont val="휴먼명조"/>
        <charset val="129"/>
      </rPr>
      <t>실비로 지원</t>
    </r>
    <phoneticPr fontId="1" type="noConversion"/>
  </si>
  <si>
    <r>
      <t xml:space="preserve">   - </t>
    </r>
    <r>
      <rPr>
        <sz val="15"/>
        <color rgb="FF000000"/>
        <rFont val="휴먼명조"/>
        <charset val="129"/>
      </rPr>
      <t xml:space="preserve">외부인사가 참여하는 회의 등 각종 회의수당은 </t>
    </r>
    <r>
      <rPr>
        <b/>
        <u/>
        <sz val="15"/>
        <color rgb="FF000000"/>
        <rFont val="휴먼명조"/>
        <charset val="129"/>
      </rPr>
      <t xml:space="preserve">청년다다름사업 사업비 예산편성 및 집행지침 </t>
    </r>
    <r>
      <rPr>
        <b/>
        <i/>
        <u/>
        <sz val="15"/>
        <color rgb="FF000000"/>
        <rFont val="휴먼명조"/>
        <charset val="129"/>
      </rPr>
      <t>붙임</t>
    </r>
    <r>
      <rPr>
        <b/>
        <i/>
        <u/>
        <sz val="15"/>
        <color rgb="FF000000"/>
        <rFont val="HCI Poppy"/>
        <family val="2"/>
      </rPr>
      <t>4</t>
    </r>
    <r>
      <rPr>
        <sz val="15"/>
        <color rgb="FF000000"/>
        <rFont val="휴먼명조"/>
        <charset val="129"/>
      </rPr>
      <t>에 의함</t>
    </r>
    <phoneticPr fontId="1" type="noConversion"/>
  </si>
  <si>
    <r>
      <rPr>
        <b/>
        <vertAlign val="superscript"/>
        <sz val="12"/>
        <color rgb="FF0070C0"/>
        <rFont val="한양중고딕"/>
        <family val="3"/>
        <charset val="129"/>
      </rPr>
      <t>[2]</t>
    </r>
    <r>
      <rPr>
        <sz val="11"/>
        <color rgb="FF191919"/>
        <rFont val="한양중고딕"/>
        <family val="3"/>
        <charset val="129"/>
      </rPr>
      <t xml:space="preserve"> </t>
    </r>
    <r>
      <rPr>
        <sz val="11"/>
        <color rgb="FF191919"/>
        <rFont val="Arial Unicode MS"/>
        <family val="3"/>
        <charset val="129"/>
      </rPr>
      <t xml:space="preserve">자립 </t>
    </r>
    <r>
      <rPr>
        <sz val="11"/>
        <color rgb="FF191919"/>
        <rFont val="한양중고딕"/>
        <family val="3"/>
        <charset val="129"/>
      </rPr>
      <t>훈련</t>
    </r>
    <r>
      <rPr>
        <sz val="11"/>
        <color rgb="FF191919"/>
        <rFont val="Calibri"/>
        <family val="3"/>
      </rPr>
      <t>·</t>
    </r>
    <r>
      <rPr>
        <sz val="11"/>
        <color rgb="FF191919"/>
        <rFont val="한양중고딕"/>
        <family val="3"/>
        <charset val="129"/>
      </rPr>
      <t>수강 자기부담금</t>
    </r>
    <phoneticPr fontId="1" type="noConversion"/>
  </si>
  <si>
    <r>
      <rPr>
        <sz val="13"/>
        <color rgb="FF191919"/>
        <rFont val="맑은 고딕"/>
        <family val="3"/>
        <charset val="129"/>
      </rPr>
      <t xml:space="preserve">      </t>
    </r>
    <r>
      <rPr>
        <sz val="13"/>
        <color rgb="FF191919"/>
        <rFont val="한양중고딕"/>
        <family val="3"/>
        <charset val="129"/>
      </rPr>
      <t>* 일정과 여비 영수증 일자가 불일치 할 경우 증빙서류에 사유서 첨부 필요</t>
    </r>
    <phoneticPr fontId="1" type="noConversion"/>
  </si>
  <si>
    <t>면접 사진, 정장대여</t>
    <phoneticPr fontId="1" type="noConversion"/>
  </si>
  <si>
    <t>기관정보, 촬영 및 대여자료</t>
    <phoneticPr fontId="1" type="noConversion"/>
  </si>
  <si>
    <r>
      <rPr>
        <b/>
        <vertAlign val="superscript"/>
        <sz val="12"/>
        <color rgb="FF0070C0"/>
        <rFont val="휴먼명조"/>
        <charset val="129"/>
      </rPr>
      <t>[4]</t>
    </r>
    <r>
      <rPr>
        <sz val="11"/>
        <color rgb="FF191919"/>
        <rFont val="한양중고딕"/>
        <family val="3"/>
        <charset val="129"/>
      </rPr>
      <t>인턴쉽</t>
    </r>
    <phoneticPr fontId="1" type="noConversion"/>
  </si>
  <si>
    <r>
      <t xml:space="preserve"> </t>
    </r>
    <r>
      <rPr>
        <b/>
        <sz val="15"/>
        <color rgb="FF191919"/>
        <rFont val="Segoe UI Symbol"/>
        <family val="2"/>
      </rPr>
      <t>○</t>
    </r>
    <r>
      <rPr>
        <b/>
        <sz val="15"/>
        <color rgb="FF191919"/>
        <rFont val="휴먼명조"/>
        <charset val="129"/>
      </rPr>
      <t xml:space="preserve"> </t>
    </r>
    <r>
      <rPr>
        <b/>
        <vertAlign val="superscript"/>
        <sz val="12"/>
        <color rgb="FF0070C0"/>
        <rFont val="휴먼명조"/>
        <charset val="129"/>
      </rPr>
      <t>[4]</t>
    </r>
    <r>
      <rPr>
        <b/>
        <sz val="15"/>
        <color rgb="FF191919"/>
        <rFont val="휴먼명조"/>
        <charset val="129"/>
      </rPr>
      <t>일</t>
    </r>
    <r>
      <rPr>
        <b/>
        <sz val="15"/>
        <color rgb="FF191919"/>
        <rFont val="HCI Poppy"/>
        <family val="2"/>
      </rPr>
      <t>·</t>
    </r>
    <r>
      <rPr>
        <b/>
        <sz val="15"/>
        <color rgb="FF191919"/>
        <rFont val="휴먼명조"/>
        <charset val="129"/>
      </rPr>
      <t>경험 등을 지원하기 위한 청년 인턴쉽비</t>
    </r>
    <phoneticPr fontId="1" type="noConversion"/>
  </si>
  <si>
    <r>
      <t xml:space="preserve">      * 기관</t>
    </r>
    <r>
      <rPr>
        <sz val="13"/>
        <color rgb="FF191919"/>
        <rFont val="Calibri"/>
        <family val="3"/>
      </rPr>
      <t>·</t>
    </r>
    <r>
      <rPr>
        <sz val="13"/>
        <color rgb="FF191919"/>
        <rFont val="한양중고딕"/>
        <family val="3"/>
        <charset val="129"/>
      </rPr>
      <t>업체 협약서, 청년근로계약서, 출근부</t>
    </r>
    <r>
      <rPr>
        <sz val="13"/>
        <color rgb="FF191919"/>
        <rFont val="굴림"/>
        <family val="3"/>
        <charset val="129"/>
      </rPr>
      <t>, 주간활동보고서, 참여 결과보고서</t>
    </r>
    <r>
      <rPr>
        <sz val="13"/>
        <color rgb="FF191919"/>
        <rFont val="한양중고딕"/>
        <family val="3"/>
        <charset val="129"/>
      </rPr>
      <t xml:space="preserve"> 등의 증빙 서류 필요</t>
    </r>
    <phoneticPr fontId="1" type="noConversion"/>
  </si>
  <si>
    <t>자기발견</t>
  </si>
  <si>
    <t>자립지원</t>
  </si>
  <si>
    <r>
      <t xml:space="preserve">      * 상한기준: </t>
    </r>
    <r>
      <rPr>
        <sz val="13"/>
        <color rgb="FF000000"/>
        <rFont val="맑은 고딕"/>
        <family val="3"/>
        <charset val="129"/>
      </rPr>
      <t>10</t>
    </r>
    <r>
      <rPr>
        <sz val="13"/>
        <color rgb="FF000000"/>
        <rFont val="한양중고딕"/>
        <family val="3"/>
        <charset val="129"/>
      </rPr>
      <t>,000원/1식</t>
    </r>
    <phoneticPr fontId="1" type="noConversion"/>
  </si>
  <si>
    <t>구분</t>
    <phoneticPr fontId="1" type="noConversion"/>
  </si>
  <si>
    <t>업체명/성명</t>
    <phoneticPr fontId="1" type="noConversion"/>
  </si>
  <si>
    <t>집행방법
(카드, 계좌이체 등)</t>
    <phoneticPr fontId="73" type="noConversion"/>
  </si>
  <si>
    <t>호시담</t>
    <phoneticPr fontId="73" type="noConversion"/>
  </si>
  <si>
    <t>참여청년 심리상담 비용 2건 지급(윤원일)</t>
    <phoneticPr fontId="73" type="noConversion"/>
  </si>
  <si>
    <t>계좌이체</t>
    <phoneticPr fontId="73" type="noConversion"/>
  </si>
  <si>
    <t>상공회의소</t>
    <phoneticPr fontId="73" type="noConversion"/>
  </si>
  <si>
    <t>자격증 응시료 자기부담금(우미리)</t>
    <phoneticPr fontId="73" type="noConversion"/>
  </si>
  <si>
    <t>공동운영프로그램</t>
  </si>
  <si>
    <t>소그룹 커뮤니티</t>
  </si>
  <si>
    <t>멘토링</t>
  </si>
  <si>
    <t>강의</t>
  </si>
  <si>
    <t>제작소 특화 프로그램</t>
    <phoneticPr fontId="1" type="noConversion"/>
  </si>
  <si>
    <t>비고</t>
    <phoneticPr fontId="73" type="noConversion"/>
  </si>
  <si>
    <t>진로설계</t>
    <phoneticPr fontId="1" type="noConversion"/>
  </si>
  <si>
    <t>마음건강</t>
    <phoneticPr fontId="1" type="noConversion"/>
  </si>
  <si>
    <t>교육훈련-학원, 인터넷강의, 멘토링</t>
    <phoneticPr fontId="1" type="noConversion"/>
  </si>
  <si>
    <t>교육훈련-불가피한 교재(재료)</t>
    <phoneticPr fontId="1" type="noConversion"/>
  </si>
  <si>
    <t>교육훈련-자격증 응시료</t>
    <phoneticPr fontId="1" type="noConversion"/>
  </si>
  <si>
    <t>교육훈련-자격응시 불가피한 재료</t>
    <phoneticPr fontId="1" type="noConversion"/>
  </si>
  <si>
    <t>교육훈련-면접 사진, 정장대여</t>
    <phoneticPr fontId="1" type="noConversion"/>
  </si>
  <si>
    <t>교육훈련-(창업)시제품 개발 재료</t>
    <phoneticPr fontId="1" type="noConversion"/>
  </si>
  <si>
    <t>교육훈련-교육/면접 등 참가비</t>
    <phoneticPr fontId="1" type="noConversion"/>
  </si>
  <si>
    <t>인턴쉽</t>
    <phoneticPr fontId="1" type="noConversion"/>
  </si>
  <si>
    <t>증빙
번호</t>
    <phoneticPr fontId="1" type="noConversion"/>
  </si>
  <si>
    <t>집행예산액</t>
    <phoneticPr fontId="73" type="noConversion"/>
  </si>
  <si>
    <t>집행금액</t>
    <phoneticPr fontId="73" type="noConversion"/>
  </si>
  <si>
    <t>미집행(초과집행)</t>
    <phoneticPr fontId="73" type="noConversion"/>
  </si>
  <si>
    <t>간접사업비- 보수(인건비)</t>
    <phoneticPr fontId="73" type="noConversion"/>
  </si>
  <si>
    <t>대상인원</t>
    <phoneticPr fontId="1" type="noConversion"/>
  </si>
  <si>
    <t>홍길동</t>
    <phoneticPr fontId="73" type="noConversion"/>
  </si>
  <si>
    <t>1월 급여</t>
    <phoneticPr fontId="73" type="noConversion"/>
  </si>
  <si>
    <t>전담인원</t>
    <phoneticPr fontId="1" type="noConversion"/>
  </si>
  <si>
    <t>입사일자</t>
    <phoneticPr fontId="1" type="noConversion"/>
  </si>
  <si>
    <t>퇴사일자</t>
    <phoneticPr fontId="1" type="noConversion"/>
  </si>
  <si>
    <t>참여시작일</t>
    <phoneticPr fontId="1" type="noConversion"/>
  </si>
  <si>
    <t>참여종료일</t>
    <phoneticPr fontId="1" type="noConversion"/>
  </si>
  <si>
    <t>홍길동</t>
    <phoneticPr fontId="1" type="noConversion"/>
  </si>
  <si>
    <t>간접비-일반운영비</t>
    <phoneticPr fontId="73" type="noConversion"/>
  </si>
  <si>
    <t>일반운영비</t>
    <phoneticPr fontId="1" type="noConversion"/>
  </si>
  <si>
    <t>일반수용비(홍보비 외)</t>
  </si>
  <si>
    <t>일반수용비(홍보비 외)</t>
    <phoneticPr fontId="1" type="noConversion"/>
  </si>
  <si>
    <t>일반수용비(홍보비)</t>
  </si>
  <si>
    <t>일반수용비(홍보비)</t>
    <phoneticPr fontId="1" type="noConversion"/>
  </si>
  <si>
    <t>공공요금 및 제세</t>
    <phoneticPr fontId="1" type="noConversion"/>
  </si>
  <si>
    <t>특근매식비</t>
    <phoneticPr fontId="1" type="noConversion"/>
  </si>
  <si>
    <t>일반수용비(홍보비 외)</t>
    <phoneticPr fontId="1" type="noConversion"/>
  </si>
  <si>
    <t>일반수용비(홍보비)</t>
    <phoneticPr fontId="1" type="noConversion"/>
  </si>
  <si>
    <t>[합 계]</t>
    <phoneticPr fontId="1" type="noConversion"/>
  </si>
  <si>
    <t>지출금액</t>
    <phoneticPr fontId="1" type="noConversion"/>
  </si>
  <si>
    <t>[합  계]</t>
    <phoneticPr fontId="1" type="noConversion"/>
  </si>
  <si>
    <t>간접비-여비</t>
    <phoneticPr fontId="73" type="noConversion"/>
  </si>
  <si>
    <t>목적지</t>
    <phoneticPr fontId="1" type="noConversion"/>
  </si>
  <si>
    <t>서울</t>
    <phoneticPr fontId="1" type="noConversion"/>
  </si>
  <si>
    <t>부산</t>
    <phoneticPr fontId="1" type="noConversion"/>
  </si>
  <si>
    <t>간접비-업무추진비</t>
    <phoneticPr fontId="73" type="noConversion"/>
  </si>
  <si>
    <t>참석인원수(명)</t>
    <phoneticPr fontId="1" type="noConversion"/>
  </si>
  <si>
    <t>스타벅스</t>
    <phoneticPr fontId="73" type="noConversion"/>
  </si>
  <si>
    <t>백다방</t>
    <phoneticPr fontId="73" type="noConversion"/>
  </si>
  <si>
    <t>카드</t>
    <phoneticPr fontId="73" type="noConversion"/>
  </si>
  <si>
    <t>ㅇㅇㅇ 회의</t>
    <phoneticPr fontId="1" type="noConversion"/>
  </si>
  <si>
    <t>간접사업비- 기타직보수</t>
    <phoneticPr fontId="73" type="noConversion"/>
  </si>
  <si>
    <t>홍보비 예산 한도 검토</t>
    <phoneticPr fontId="1" type="noConversion"/>
  </si>
  <si>
    <t>홍보비 예산</t>
    <phoneticPr fontId="1" type="noConversion"/>
  </si>
  <si>
    <t>간접비 예산</t>
    <phoneticPr fontId="1" type="noConversion"/>
  </si>
  <si>
    <t>운영인건비 예산</t>
    <phoneticPr fontId="1" type="noConversion"/>
  </si>
  <si>
    <t>사업추진비 예산 한도 검토</t>
    <phoneticPr fontId="1" type="noConversion"/>
  </si>
  <si>
    <t>사업추진비 예산</t>
    <phoneticPr fontId="1" type="noConversion"/>
  </si>
  <si>
    <t>비율(5%이내)</t>
    <phoneticPr fontId="1" type="noConversion"/>
  </si>
  <si>
    <t>비율(10% 이내)</t>
    <phoneticPr fontId="1" type="noConversion"/>
  </si>
  <si>
    <r>
      <rPr>
        <sz val="13"/>
        <color rgb="FF191919"/>
        <rFont val="맑은 고딕"/>
        <family val="3"/>
        <charset val="129"/>
      </rPr>
      <t xml:space="preserve">      </t>
    </r>
    <r>
      <rPr>
        <sz val="13"/>
        <color rgb="FF191919"/>
        <rFont val="한양중고딕"/>
        <family val="3"/>
        <charset val="129"/>
      </rPr>
      <t xml:space="preserve">* 교통비는 </t>
    </r>
    <r>
      <rPr>
        <sz val="13"/>
        <color rgb="FF191919"/>
        <rFont val="Arial Unicode MS"/>
        <family val="3"/>
        <charset val="129"/>
      </rPr>
      <t xml:space="preserve">왕복 </t>
    </r>
    <r>
      <rPr>
        <sz val="13"/>
        <color rgb="FF191919"/>
        <rFont val="한양중고딕"/>
        <family val="3"/>
        <charset val="129"/>
      </rPr>
      <t>교통비 영수증(시외버스, 기차, 항공, 선박</t>
    </r>
    <r>
      <rPr>
        <sz val="13"/>
        <color rgb="FF191919"/>
        <rFont val="맑은 고딕"/>
        <family val="3"/>
        <charset val="129"/>
      </rPr>
      <t xml:space="preserve"> 등 일반실 기준</t>
    </r>
    <r>
      <rPr>
        <sz val="13"/>
        <color rgb="FF191919"/>
        <rFont val="한양중고딕"/>
        <family val="3"/>
        <charset val="129"/>
      </rPr>
      <t>)</t>
    </r>
    <r>
      <rPr>
        <sz val="13"/>
        <color rgb="FF191919"/>
        <rFont val="Arial Unicode MS"/>
        <family val="3"/>
        <charset val="129"/>
      </rPr>
      <t>과</t>
    </r>
    <r>
      <rPr>
        <sz val="13"/>
        <color rgb="FF191919"/>
        <rFont val="한양중고딕"/>
        <family val="3"/>
        <charset val="129"/>
      </rPr>
      <t xml:space="preserve"> 참여확인서가</t>
    </r>
    <r>
      <rPr>
        <sz val="13"/>
        <color rgb="FF191919"/>
        <rFont val="맑은 고딕"/>
        <family val="3"/>
        <charset val="129"/>
        <scheme val="minor"/>
      </rPr>
      <t xml:space="preserve"> </t>
    </r>
    <r>
      <rPr>
        <sz val="13"/>
        <color rgb="FF191919"/>
        <rFont val="한양중고딕"/>
        <family val="3"/>
        <charset val="129"/>
      </rPr>
      <t>증빙된 건에 한하여 인정</t>
    </r>
    <phoneticPr fontId="1" type="noConversion"/>
  </si>
  <si>
    <r>
      <t xml:space="preserve">5) </t>
    </r>
    <r>
      <rPr>
        <b/>
        <sz val="15"/>
        <color rgb="FF000000"/>
        <rFont val="휴먼명조"/>
        <charset val="129"/>
      </rPr>
      <t>기타직보수</t>
    </r>
    <phoneticPr fontId="1" type="noConversion"/>
  </si>
  <si>
    <r>
      <t xml:space="preserve">6) </t>
    </r>
    <r>
      <rPr>
        <b/>
        <sz val="15"/>
        <color rgb="FF000000"/>
        <rFont val="휴먼명조"/>
        <charset val="129"/>
      </rPr>
      <t>기타사항</t>
    </r>
    <phoneticPr fontId="1" type="noConversion"/>
  </si>
  <si>
    <t>제작소특화프로그램 - 공동운영프로그램</t>
    <phoneticPr fontId="1" type="noConversion"/>
  </si>
  <si>
    <t>제작소특화프로그램 - 멘토링</t>
    <phoneticPr fontId="1" type="noConversion"/>
  </si>
  <si>
    <t>제작소특화프로그램 - 강의(특강) 등</t>
    <phoneticPr fontId="1" type="noConversion"/>
  </si>
  <si>
    <t>자기발견                - 진로설계</t>
    <phoneticPr fontId="1" type="noConversion"/>
  </si>
  <si>
    <t>자기발견                - 마음건강</t>
    <phoneticPr fontId="1" type="noConversion"/>
  </si>
  <si>
    <t>자립지원                - 교육훈련</t>
    <phoneticPr fontId="1" type="noConversion"/>
  </si>
  <si>
    <t>자립지원                - 인턴쉽</t>
    <phoneticPr fontId="1" type="noConversion"/>
  </si>
  <si>
    <t>세목 - 세세목</t>
    <phoneticPr fontId="1" type="noConversion"/>
  </si>
  <si>
    <t>기타                      - 애로사항</t>
    <phoneticPr fontId="1" type="noConversion"/>
  </si>
  <si>
    <t>기타                      - 기타</t>
    <phoneticPr fontId="1" type="noConversion"/>
  </si>
  <si>
    <t>직접비 - 역량강화지원금</t>
    <phoneticPr fontId="73" type="noConversion"/>
  </si>
  <si>
    <t>역량강화지원금</t>
    <phoneticPr fontId="1" type="noConversion"/>
  </si>
  <si>
    <t>참여청년</t>
    <phoneticPr fontId="73" type="noConversion"/>
  </si>
  <si>
    <t>세목 - 세세목</t>
    <phoneticPr fontId="73" type="noConversion"/>
  </si>
  <si>
    <t>발생이자 - 직접비</t>
    <phoneticPr fontId="1" type="noConversion"/>
  </si>
  <si>
    <t>발생이자 - 간접비</t>
    <phoneticPr fontId="1" type="noConversion"/>
  </si>
  <si>
    <t>집행금액
(B)</t>
    <phoneticPr fontId="1" type="noConversion"/>
  </si>
  <si>
    <t>다. 이자 집행 총괄(당해 사업기간)</t>
    <phoneticPr fontId="1" type="noConversion"/>
  </si>
  <si>
    <t>잔액</t>
    <phoneticPr fontId="1" type="noConversion"/>
  </si>
  <si>
    <t>합계</t>
    <phoneticPr fontId="1" type="noConversion"/>
  </si>
  <si>
    <t>불인정 금액(A)</t>
    <phoneticPr fontId="1" type="noConversion"/>
  </si>
  <si>
    <t>불인정 금액
반납액
(B)</t>
    <phoneticPr fontId="1" type="noConversion"/>
  </si>
  <si>
    <r>
      <t xml:space="preserve">라. 불인정 금액 내역  </t>
    </r>
    <r>
      <rPr>
        <i/>
        <sz val="11"/>
        <color theme="1"/>
        <rFont val="HY그래픽M"/>
        <family val="1"/>
        <charset val="129"/>
      </rPr>
      <t>(해당사항 없을 경우 공란)</t>
    </r>
    <phoneticPr fontId="1" type="noConversion"/>
  </si>
  <si>
    <t>거래처명</t>
    <phoneticPr fontId="1" type="noConversion"/>
  </si>
  <si>
    <t>지출금액
(합계)</t>
    <phoneticPr fontId="73" type="noConversion"/>
  </si>
  <si>
    <t>성명</t>
    <phoneticPr fontId="1" type="noConversion"/>
  </si>
  <si>
    <t>주민번호 앞 6자리</t>
    <phoneticPr fontId="1" type="noConversion"/>
  </si>
  <si>
    <t>연번</t>
    <phoneticPr fontId="1" type="noConversion"/>
  </si>
  <si>
    <t>미집행(초과집행)</t>
    <phoneticPr fontId="1" type="noConversion"/>
  </si>
  <si>
    <t>집행액(합계)</t>
    <phoneticPr fontId="1" type="noConversion"/>
  </si>
  <si>
    <t>예산한도/1인당</t>
    <phoneticPr fontId="1" type="noConversion"/>
  </si>
  <si>
    <t>애로사항 해소지원 만</t>
    <phoneticPr fontId="1" type="noConversion"/>
  </si>
  <si>
    <t>총 예산 및 집행</t>
    <phoneticPr fontId="1" type="noConversion"/>
  </si>
  <si>
    <t>[참여청년 한도내 집행 여부 검토]</t>
    <phoneticPr fontId="1" type="noConversion"/>
  </si>
  <si>
    <r>
      <t>□ 직접사업비</t>
    </r>
    <r>
      <rPr>
        <b/>
        <sz val="16"/>
        <color rgb="FF191919"/>
        <rFont val="HCI Poppy"/>
        <family val="2"/>
      </rPr>
      <t>(</t>
    </r>
    <r>
      <rPr>
        <b/>
        <sz val="15"/>
        <color rgb="FF191919"/>
        <rFont val="휴먼명조"/>
        <charset val="129"/>
      </rPr>
      <t>역량강화지원금</t>
    </r>
    <r>
      <rPr>
        <b/>
        <sz val="15"/>
        <color rgb="FF191919"/>
        <rFont val="HCI Poppy"/>
        <family val="2"/>
      </rPr>
      <t>)</t>
    </r>
    <phoneticPr fontId="1" type="noConversion"/>
  </si>
  <si>
    <t>□ 공통 기본 서류</t>
    <phoneticPr fontId="1" type="noConversion"/>
  </si>
  <si>
    <r>
      <rPr>
        <sz val="13"/>
        <color rgb="FFFF0000"/>
        <rFont val="휴먼명조"/>
        <family val="3"/>
        <charset val="129"/>
      </rPr>
      <t xml:space="preserve">    </t>
    </r>
    <r>
      <rPr>
        <sz val="13"/>
        <color rgb="FFFF0000"/>
        <rFont val="한양중고딕"/>
        <family val="3"/>
        <charset val="129"/>
      </rPr>
      <t>※</t>
    </r>
    <r>
      <rPr>
        <sz val="13"/>
        <color rgb="FFFF0000"/>
        <rFont val="휴먼명조"/>
        <family val="3"/>
        <charset val="129"/>
      </rPr>
      <t>계약은 계약서, 거래명세서 또는 견적서 필요</t>
    </r>
    <phoneticPr fontId="1" type="noConversion"/>
  </si>
  <si>
    <r>
      <rPr>
        <sz val="13"/>
        <color rgb="FFFF0000"/>
        <rFont val="휴먼명조"/>
        <family val="3"/>
        <charset val="129"/>
      </rPr>
      <t xml:space="preserve">    </t>
    </r>
    <r>
      <rPr>
        <sz val="13"/>
        <color rgb="FFFF0000"/>
        <rFont val="한양중고딕"/>
        <family val="3"/>
        <charset val="129"/>
      </rPr>
      <t>※</t>
    </r>
    <r>
      <rPr>
        <sz val="13"/>
        <color rgb="FFFF0000"/>
        <rFont val="휴먼명조"/>
        <family val="3"/>
        <charset val="129"/>
      </rPr>
      <t xml:space="preserve"> 개인별프로그램 계획서를 참조하여 지급</t>
    </r>
    <phoneticPr fontId="1" type="noConversion"/>
  </si>
  <si>
    <r>
      <rPr>
        <sz val="13"/>
        <color rgb="FFFF0000"/>
        <rFont val="휴먼명조"/>
        <family val="3"/>
        <charset val="129"/>
      </rPr>
      <t xml:space="preserve">    </t>
    </r>
    <r>
      <rPr>
        <sz val="13"/>
        <color rgb="FFFF0000"/>
        <rFont val="한양중고딕"/>
        <family val="3"/>
        <charset val="129"/>
      </rPr>
      <t>※</t>
    </r>
    <r>
      <rPr>
        <sz val="13"/>
        <color rgb="FFFF0000"/>
        <rFont val="휴먼명조"/>
        <family val="3"/>
        <charset val="129"/>
      </rPr>
      <t xml:space="preserve"> 지역제작소별 참여청년 20명</t>
    </r>
    <phoneticPr fontId="1" type="noConversion"/>
  </si>
  <si>
    <t>세목</t>
    <phoneticPr fontId="73" type="noConversion"/>
  </si>
  <si>
    <t>세세목</t>
    <phoneticPr fontId="73" type="noConversion"/>
  </si>
  <si>
    <t>제작소특화프로그램</t>
    <phoneticPr fontId="73" type="noConversion"/>
  </si>
  <si>
    <t>공동운영프로그램/멘토링/강의(특강) 등</t>
    <phoneticPr fontId="73" type="noConversion"/>
  </si>
  <si>
    <t>자기발견</t>
    <phoneticPr fontId="73" type="noConversion"/>
  </si>
  <si>
    <t>진로설계/마음건강</t>
    <phoneticPr fontId="73" type="noConversion"/>
  </si>
  <si>
    <t>자립지원</t>
    <phoneticPr fontId="73" type="noConversion"/>
  </si>
  <si>
    <t>교육훈력/인턴쉽</t>
    <phoneticPr fontId="73" type="noConversion"/>
  </si>
  <si>
    <t>기타</t>
    <phoneticPr fontId="73" type="noConversion"/>
  </si>
  <si>
    <t>애로사항/기타</t>
    <phoneticPr fontId="73" type="noConversion"/>
  </si>
  <si>
    <t>운영지침 - 비목별세부집행기준 참고(p5)</t>
    <phoneticPr fontId="73" type="noConversion"/>
  </si>
  <si>
    <t>(참고) 세목체계 정리</t>
    <phoneticPr fontId="73" type="noConversion"/>
  </si>
  <si>
    <t>*반드시 세목 종류 선택하여 작성</t>
    <phoneticPr fontId="73" type="noConversion"/>
  </si>
  <si>
    <t>홍길동</t>
  </si>
  <si>
    <t>홍길순</t>
  </si>
  <si>
    <t>홍길순</t>
    <phoneticPr fontId="1" type="noConversion"/>
  </si>
  <si>
    <r>
      <rPr>
        <sz val="13"/>
        <color rgb="FFFF0000"/>
        <rFont val="휴먼명조"/>
        <family val="3"/>
        <charset val="129"/>
      </rPr>
      <t xml:space="preserve">    </t>
    </r>
    <r>
      <rPr>
        <sz val="13"/>
        <color rgb="FFFF0000"/>
        <rFont val="한양중고딕"/>
        <family val="3"/>
        <charset val="129"/>
      </rPr>
      <t>※</t>
    </r>
    <r>
      <rPr>
        <sz val="13"/>
        <color rgb="FFFF0000"/>
        <rFont val="휴먼명조"/>
        <family val="3"/>
        <charset val="129"/>
      </rPr>
      <t xml:space="preserve"> 애로사항 해소지원 포함하여 전체 금액 240만원(총예산 및 집행)</t>
    </r>
    <phoneticPr fontId="1" type="noConversion"/>
  </si>
  <si>
    <t xml:space="preserve"> ○ 지출결의서(품의서), 역량강화지원금 신청서(청년용, 서식10)</t>
    <phoneticPr fontId="1" type="noConversion"/>
  </si>
  <si>
    <t>1. 프로그램 운영 계획서
   (커리큘럼 등 포함)
2. 전문가 이력서
3. 위탁계약서4. 결과보고서 및 출결증빙</t>
    <phoneticPr fontId="1" type="noConversion"/>
  </si>
  <si>
    <r>
      <t>1. 심리상담 전문가 이력서
2. 외부위탁용역 계약서(협약서)
3. 운영내역</t>
    </r>
    <r>
      <rPr>
        <sz val="11"/>
        <color rgb="FF191919"/>
        <rFont val="Calibri"/>
        <family val="3"/>
      </rPr>
      <t>·</t>
    </r>
    <r>
      <rPr>
        <sz val="11"/>
        <color rgb="FF191919"/>
        <rFont val="맑은 고딕"/>
        <family val="3"/>
        <charset val="129"/>
      </rPr>
      <t>결과자료</t>
    </r>
    <r>
      <rPr>
        <sz val="11"/>
        <color rgb="FF191919"/>
        <rFont val="Calibri"/>
        <family val="3"/>
      </rPr>
      <t xml:space="preserve">
4. </t>
    </r>
    <r>
      <rPr>
        <sz val="11"/>
        <color rgb="FF191919"/>
        <rFont val="맑은 고딕"/>
        <family val="3"/>
        <charset val="129"/>
      </rPr>
      <t>상담사실</t>
    </r>
    <r>
      <rPr>
        <sz val="11"/>
        <color rgb="FF191919"/>
        <rFont val="Calibri"/>
        <family val="3"/>
      </rPr>
      <t xml:space="preserve"> </t>
    </r>
    <r>
      <rPr>
        <sz val="11"/>
        <color rgb="FF191919"/>
        <rFont val="맑은 고딕"/>
        <family val="3"/>
        <charset val="129"/>
      </rPr>
      <t>확인서</t>
    </r>
    <phoneticPr fontId="1" type="noConversion"/>
  </si>
  <si>
    <t>1. 검사 비용 및 검사지 구매권</t>
    <phoneticPr fontId="1" type="noConversion"/>
  </si>
  <si>
    <r>
      <t>1. 훈련</t>
    </r>
    <r>
      <rPr>
        <sz val="11"/>
        <color rgb="FF191919"/>
        <rFont val="Calibri"/>
        <family val="3"/>
      </rPr>
      <t>·</t>
    </r>
    <r>
      <rPr>
        <sz val="11"/>
        <color rgb="FF191919"/>
        <rFont val="맑은 고딕"/>
        <family val="3"/>
        <charset val="129"/>
      </rPr>
      <t>수강</t>
    </r>
    <r>
      <rPr>
        <sz val="11"/>
        <color rgb="FF191919"/>
        <rFont val="Calibri"/>
        <family val="3"/>
      </rPr>
      <t xml:space="preserve"> </t>
    </r>
    <r>
      <rPr>
        <sz val="11"/>
        <color rgb="FF191919"/>
        <rFont val="맑은 고딕"/>
        <family val="3"/>
        <charset val="129"/>
      </rPr>
      <t>커리큘럼</t>
    </r>
    <r>
      <rPr>
        <sz val="11"/>
        <color rgb="FF191919"/>
        <rFont val="Calibri"/>
        <family val="3"/>
      </rPr>
      <t xml:space="preserve">
2. </t>
    </r>
    <r>
      <rPr>
        <sz val="11"/>
        <color rgb="FF191919"/>
        <rFont val="맑은 고딕"/>
        <family val="3"/>
        <charset val="129"/>
      </rPr>
      <t>기관</t>
    </r>
    <r>
      <rPr>
        <sz val="11"/>
        <color rgb="FF191919"/>
        <rFont val="Calibri"/>
        <family val="3"/>
      </rPr>
      <t xml:space="preserve"> </t>
    </r>
    <r>
      <rPr>
        <sz val="11"/>
        <color rgb="FF191919"/>
        <rFont val="맑은 고딕"/>
        <family val="3"/>
        <charset val="129"/>
      </rPr>
      <t>정보</t>
    </r>
    <r>
      <rPr>
        <sz val="11"/>
        <color rgb="FF191919"/>
        <rFont val="Calibri"/>
        <family val="3"/>
      </rPr>
      <t xml:space="preserve">
3. </t>
    </r>
    <r>
      <rPr>
        <sz val="11"/>
        <color rgb="FF191919"/>
        <rFont val="맑은 고딕"/>
        <family val="3"/>
        <charset val="129"/>
      </rPr>
      <t>수강</t>
    </r>
    <r>
      <rPr>
        <sz val="11"/>
        <color rgb="FF191919"/>
        <rFont val="Calibri"/>
        <family val="3"/>
      </rPr>
      <t xml:space="preserve"> </t>
    </r>
    <r>
      <rPr>
        <sz val="11"/>
        <color rgb="FF191919"/>
        <rFont val="맑은 고딕"/>
        <family val="3"/>
        <charset val="129"/>
      </rPr>
      <t>확인증</t>
    </r>
    <r>
      <rPr>
        <sz val="11"/>
        <color rgb="FF191919"/>
        <rFont val="Calibri"/>
        <family val="3"/>
      </rPr>
      <t xml:space="preserve">
4. </t>
    </r>
    <r>
      <rPr>
        <sz val="11"/>
        <color rgb="FF191919"/>
        <rFont val="맑은 고딕"/>
        <family val="3"/>
        <charset val="129"/>
      </rPr>
      <t>수료증</t>
    </r>
    <r>
      <rPr>
        <sz val="11"/>
        <color rgb="FF191919"/>
        <rFont val="Calibri"/>
        <family val="3"/>
      </rPr>
      <t xml:space="preserve">
* [</t>
    </r>
    <r>
      <rPr>
        <sz val="11"/>
        <color rgb="FF191919"/>
        <rFont val="맑은 고딕"/>
        <family val="3"/>
        <charset val="129"/>
      </rPr>
      <t>중도</t>
    </r>
    <r>
      <rPr>
        <sz val="11"/>
        <color rgb="FF191919"/>
        <rFont val="Calibri"/>
        <family val="3"/>
      </rPr>
      <t xml:space="preserve"> </t>
    </r>
    <r>
      <rPr>
        <sz val="11"/>
        <color rgb="FF191919"/>
        <rFont val="맑은 고딕"/>
        <family val="3"/>
        <charset val="129"/>
      </rPr>
      <t>포기</t>
    </r>
    <r>
      <rPr>
        <sz val="11"/>
        <color rgb="FF191919"/>
        <rFont val="Calibri"/>
        <family val="3"/>
      </rPr>
      <t>·</t>
    </r>
    <r>
      <rPr>
        <sz val="11"/>
        <color rgb="FF191919"/>
        <rFont val="맑은 고딕"/>
        <family val="3"/>
        <charset val="129"/>
      </rPr>
      <t>탈락</t>
    </r>
    <r>
      <rPr>
        <sz val="11"/>
        <color rgb="FF191919"/>
        <rFont val="Calibri"/>
        <family val="3"/>
      </rPr>
      <t xml:space="preserve"> </t>
    </r>
    <r>
      <rPr>
        <sz val="11"/>
        <color rgb="FF191919"/>
        <rFont val="맑은 고딕"/>
        <family val="3"/>
        <charset val="129"/>
      </rPr>
      <t>시</t>
    </r>
    <r>
      <rPr>
        <sz val="11"/>
        <color rgb="FF191919"/>
        <rFont val="Calibri"/>
        <family val="3"/>
      </rPr>
      <t>]</t>
    </r>
    <r>
      <rPr>
        <sz val="11"/>
        <color rgb="FF191919"/>
        <rFont val="맑은 고딕"/>
        <family val="3"/>
        <charset val="129"/>
      </rPr>
      <t>사유서</t>
    </r>
    <phoneticPr fontId="1" type="noConversion"/>
  </si>
  <si>
    <t>1. 자격시험 접수증
2. 응시확인서, (응시결과서류)
* [미 응시 시] 지급불가</t>
    <phoneticPr fontId="1" type="noConversion"/>
  </si>
  <si>
    <t>1. 재단 협의공문
2. 비용 예산 반영 계획서
3. 견적서</t>
    <phoneticPr fontId="1" type="noConversion"/>
  </si>
  <si>
    <r>
      <t>1. 교육</t>
    </r>
    <r>
      <rPr>
        <sz val="11"/>
        <color rgb="FF191919"/>
        <rFont val="Calibri"/>
        <family val="3"/>
      </rPr>
      <t>·</t>
    </r>
    <r>
      <rPr>
        <sz val="11"/>
        <color rgb="FF191919"/>
        <rFont val="맑은 고딕"/>
        <family val="3"/>
        <charset val="129"/>
      </rPr>
      <t>훈련</t>
    </r>
    <r>
      <rPr>
        <sz val="11"/>
        <color rgb="FF191919"/>
        <rFont val="Calibri"/>
        <family val="3"/>
      </rPr>
      <t>·</t>
    </r>
    <r>
      <rPr>
        <sz val="11"/>
        <color rgb="FF191919"/>
        <rFont val="맑은 고딕"/>
        <family val="3"/>
        <charset val="129"/>
      </rPr>
      <t>면접</t>
    </r>
    <r>
      <rPr>
        <sz val="11"/>
        <color rgb="FF191919"/>
        <rFont val="Calibri"/>
        <family val="3"/>
      </rPr>
      <t xml:space="preserve"> </t>
    </r>
    <r>
      <rPr>
        <sz val="11"/>
        <color rgb="FF191919"/>
        <rFont val="맑은 고딕"/>
        <family val="3"/>
        <charset val="129"/>
      </rPr>
      <t>참여</t>
    </r>
    <r>
      <rPr>
        <sz val="11"/>
        <color rgb="FF191919"/>
        <rFont val="Calibri"/>
        <family val="3"/>
      </rPr>
      <t xml:space="preserve"> </t>
    </r>
    <r>
      <rPr>
        <sz val="11"/>
        <color rgb="FF191919"/>
        <rFont val="맑은 고딕"/>
        <family val="3"/>
        <charset val="129"/>
      </rPr>
      <t>확인서</t>
    </r>
    <r>
      <rPr>
        <sz val="11"/>
        <color rgb="FF191919"/>
        <rFont val="Calibri"/>
        <family val="3"/>
      </rPr>
      <t xml:space="preserve">
2. </t>
    </r>
    <r>
      <rPr>
        <sz val="11"/>
        <color rgb="FF191919"/>
        <rFont val="맑은 고딕"/>
        <family val="3"/>
        <charset val="129"/>
      </rPr>
      <t>청년</t>
    </r>
    <r>
      <rPr>
        <sz val="11"/>
        <color rgb="FF191919"/>
        <rFont val="Calibri"/>
        <family val="3"/>
      </rPr>
      <t xml:space="preserve"> </t>
    </r>
    <r>
      <rPr>
        <sz val="11"/>
        <color rgb="FF191919"/>
        <rFont val="맑은 고딕"/>
        <family val="3"/>
        <charset val="129"/>
      </rPr>
      <t>인적사항</t>
    </r>
    <r>
      <rPr>
        <sz val="11"/>
        <color rgb="FF191919"/>
        <rFont val="Calibri"/>
        <family val="3"/>
      </rPr>
      <t>(</t>
    </r>
    <r>
      <rPr>
        <sz val="11"/>
        <color rgb="FF191919"/>
        <rFont val="맑은 고딕"/>
        <family val="3"/>
        <charset val="129"/>
      </rPr>
      <t>거주지</t>
    </r>
    <r>
      <rPr>
        <sz val="11"/>
        <color rgb="FF191919"/>
        <rFont val="Calibri"/>
        <family val="3"/>
      </rPr>
      <t xml:space="preserve"> </t>
    </r>
    <r>
      <rPr>
        <sz val="11"/>
        <color rgb="FF191919"/>
        <rFont val="맑은 고딕"/>
        <family val="3"/>
        <charset val="129"/>
      </rPr>
      <t>표시</t>
    </r>
    <r>
      <rPr>
        <sz val="11"/>
        <color rgb="FF191919"/>
        <rFont val="Calibri"/>
        <family val="3"/>
      </rPr>
      <t xml:space="preserve">)
3. </t>
    </r>
    <r>
      <rPr>
        <sz val="11"/>
        <color rgb="FF191919"/>
        <rFont val="맑은 고딕"/>
        <family val="3"/>
        <charset val="129"/>
      </rPr>
      <t>교통비</t>
    </r>
    <r>
      <rPr>
        <sz val="11"/>
        <color rgb="FF191919"/>
        <rFont val="Calibri"/>
        <family val="3"/>
      </rPr>
      <t xml:space="preserve"> </t>
    </r>
    <r>
      <rPr>
        <sz val="11"/>
        <color rgb="FF191919"/>
        <rFont val="맑은 고딕"/>
        <family val="3"/>
        <charset val="129"/>
      </rPr>
      <t>영수증</t>
    </r>
    <r>
      <rPr>
        <sz val="11"/>
        <color rgb="FF191919"/>
        <rFont val="Calibri"/>
        <family val="3"/>
      </rPr>
      <t xml:space="preserve">
* [</t>
    </r>
    <r>
      <rPr>
        <sz val="11"/>
        <color rgb="FF191919"/>
        <rFont val="맑은 고딕"/>
        <family val="3"/>
        <charset val="129"/>
      </rPr>
      <t>일자</t>
    </r>
    <r>
      <rPr>
        <sz val="11"/>
        <color rgb="FF191919"/>
        <rFont val="Calibri"/>
        <family val="3"/>
      </rPr>
      <t xml:space="preserve"> </t>
    </r>
    <r>
      <rPr>
        <sz val="11"/>
        <color rgb="FF191919"/>
        <rFont val="맑은 고딕"/>
        <family val="3"/>
        <charset val="129"/>
      </rPr>
      <t>불일치</t>
    </r>
    <r>
      <rPr>
        <sz val="11"/>
        <color rgb="FF191919"/>
        <rFont val="Calibri"/>
        <family val="3"/>
      </rPr>
      <t xml:space="preserve"> </t>
    </r>
    <r>
      <rPr>
        <sz val="11"/>
        <color rgb="FF191919"/>
        <rFont val="맑은 고딕"/>
        <family val="3"/>
        <charset val="129"/>
      </rPr>
      <t>시</t>
    </r>
    <r>
      <rPr>
        <sz val="11"/>
        <color rgb="FF191919"/>
        <rFont val="Calibri"/>
        <family val="3"/>
      </rPr>
      <t xml:space="preserve">] </t>
    </r>
    <r>
      <rPr>
        <sz val="11"/>
        <color rgb="FF191919"/>
        <rFont val="맑은 고딕"/>
        <family val="3"/>
        <charset val="129"/>
      </rPr>
      <t>지급불가</t>
    </r>
    <phoneticPr fontId="1" type="noConversion"/>
  </si>
  <si>
    <r>
      <t>거주 지역 외 타 지역으로 이동한 경우
(단, 시외버스,</t>
    </r>
    <r>
      <rPr>
        <sz val="11"/>
        <color rgb="FF191919"/>
        <rFont val="맑은 고딕"/>
        <family val="3"/>
        <charset val="129"/>
        <scheme val="minor"/>
      </rPr>
      <t xml:space="preserve"> </t>
    </r>
    <r>
      <rPr>
        <sz val="11"/>
        <color rgb="FF191919"/>
        <rFont val="한양중고딕"/>
        <family val="3"/>
        <charset val="129"/>
      </rPr>
      <t>기차, 항공, 선박에 한함)</t>
    </r>
    <phoneticPr fontId="1" type="noConversion"/>
  </si>
  <si>
    <r>
      <rPr>
        <b/>
        <vertAlign val="superscript"/>
        <sz val="12"/>
        <color rgb="FF0070C0"/>
        <rFont val="휴먼명조"/>
        <charset val="129"/>
      </rPr>
      <t>[3]</t>
    </r>
    <r>
      <rPr>
        <sz val="11"/>
        <color rgb="FF191919"/>
        <rFont val="한양중고딕"/>
        <family val="3"/>
        <charset val="129"/>
      </rPr>
      <t>교육</t>
    </r>
    <r>
      <rPr>
        <sz val="11"/>
        <color rgb="FF191919"/>
        <rFont val="Calibri"/>
        <family val="3"/>
      </rPr>
      <t>·</t>
    </r>
    <r>
      <rPr>
        <sz val="11"/>
        <color rgb="FF191919"/>
        <rFont val="한양중고딕"/>
        <family val="3"/>
        <charset val="129"/>
      </rPr>
      <t xml:space="preserve">면접 </t>
    </r>
    <r>
      <rPr>
        <sz val="11"/>
        <color rgb="FF191919"/>
        <rFont val="Arial Unicode MS"/>
        <family val="3"/>
        <charset val="129"/>
      </rPr>
      <t>참가수당</t>
    </r>
    <phoneticPr fontId="1" type="noConversion"/>
  </si>
  <si>
    <t>1. 재단 협의공문
2. 협약서 또는 근로계약서
3. 출근부, 급여명세서 등</t>
    <phoneticPr fontId="1" type="noConversion"/>
  </si>
  <si>
    <r>
      <t>학원, 인터넷강의, 멘토링</t>
    </r>
    <r>
      <rPr>
        <sz val="11"/>
        <color rgb="FF191919"/>
        <rFont val="맑은 고딕"/>
        <family val="3"/>
        <charset val="129"/>
        <scheme val="minor"/>
      </rPr>
      <t xml:space="preserve"> </t>
    </r>
    <phoneticPr fontId="1" type="noConversion"/>
  </si>
  <si>
    <r>
      <t>불가</t>
    </r>
    <r>
      <rPr>
        <sz val="11"/>
        <color rgb="FF191919"/>
        <rFont val="굴림"/>
        <family val="3"/>
        <charset val="129"/>
      </rPr>
      <t xml:space="preserve"> 
</t>
    </r>
    <r>
      <rPr>
        <sz val="11"/>
        <color rgb="FF191919"/>
        <rFont val="한양중고딕"/>
        <family val="3"/>
        <charset val="129"/>
      </rPr>
      <t>*단, 기관사정상 협의가능</t>
    </r>
    <phoneticPr fontId="1" type="noConversion"/>
  </si>
  <si>
    <r>
      <t xml:space="preserve"> </t>
    </r>
    <r>
      <rPr>
        <b/>
        <sz val="15"/>
        <color rgb="FF191919"/>
        <rFont val="휴먼명조"/>
        <family val="2"/>
        <charset val="129"/>
      </rPr>
      <t>○</t>
    </r>
    <r>
      <rPr>
        <b/>
        <sz val="15"/>
        <color rgb="FF191919"/>
        <rFont val="휴먼명조"/>
        <charset val="129"/>
      </rPr>
      <t xml:space="preserve"> </t>
    </r>
    <r>
      <rPr>
        <b/>
        <vertAlign val="superscript"/>
        <sz val="12"/>
        <color rgb="FF0070C0"/>
        <rFont val="휴먼명조"/>
        <charset val="129"/>
      </rPr>
      <t>[3]</t>
    </r>
    <r>
      <rPr>
        <b/>
        <sz val="15"/>
        <color rgb="FF191919"/>
        <rFont val="휴먼명조"/>
        <charset val="129"/>
      </rPr>
      <t>거주 지역 외 타 지역에서 교육</t>
    </r>
    <r>
      <rPr>
        <b/>
        <sz val="15"/>
        <color rgb="FF191919"/>
        <rFont val="HCI Poppy"/>
        <family val="2"/>
      </rPr>
      <t>·</t>
    </r>
    <r>
      <rPr>
        <b/>
        <sz val="15"/>
        <color rgb="FF191919"/>
        <rFont val="휴먼명조"/>
        <charset val="129"/>
      </rPr>
      <t>면접에 참여하여 발생하는 참가수당</t>
    </r>
    <phoneticPr fontId="1" type="noConversion"/>
  </si>
  <si>
    <t xml:space="preserve"> ○ 회의비</t>
    <phoneticPr fontId="1" type="noConversion"/>
  </si>
  <si>
    <t>회의비</t>
  </si>
  <si>
    <t>회의비</t>
    <phoneticPr fontId="1" type="noConversion"/>
  </si>
  <si>
    <t>회의비</t>
    <phoneticPr fontId="1" type="noConversion"/>
  </si>
  <si>
    <t>사업추진비</t>
    <phoneticPr fontId="1" type="noConversion"/>
  </si>
  <si>
    <t>제작소특화프로그램 - 소그룹 커뮤니티</t>
  </si>
  <si>
    <t>제작소특화프로그램 - 소그룹 커뮤니티</t>
    <phoneticPr fontId="1" type="noConversion"/>
  </si>
  <si>
    <t>자기발견                - 마음건강</t>
  </si>
  <si>
    <t>pdf 파일 작성시 순서 예시</t>
    <phoneticPr fontId="1" type="noConversion"/>
  </si>
  <si>
    <t>1. 지출결의서(품의서)</t>
    <phoneticPr fontId="1" type="noConversion"/>
  </si>
  <si>
    <t>2. 역량강화지원금 신청서</t>
    <phoneticPr fontId="1" type="noConversion"/>
  </si>
  <si>
    <t>3. 거래처 사업자등록증 및 통장사본</t>
    <phoneticPr fontId="1" type="noConversion"/>
  </si>
  <si>
    <t>4. 세금계산서 or 카드전표 or 청년 개인계좌이체내역(신분증, 통장사본, 이체내역서)</t>
    <phoneticPr fontId="1" type="noConversion"/>
  </si>
  <si>
    <t>5. 계약서, 거래명세서, 견적서</t>
    <phoneticPr fontId="1" type="noConversion"/>
  </si>
  <si>
    <t>6. 결과보고서</t>
    <phoneticPr fontId="1" type="noConversion"/>
  </si>
  <si>
    <t>7. 기타 집행 증빙</t>
    <phoneticPr fontId="1" type="noConversion"/>
  </si>
  <si>
    <t>제작소특화프로그램 - 멘토링</t>
  </si>
  <si>
    <t xml:space="preserve"> ○ 사용내역
      1) (세금계산서) 거래처 사업자등록증 및 통장사본, 세금계산서
      2) (카드결제) 구매사이트 화면캡쳐본, 거래명세서, 카드전표(영수증)
      3) (청년 개인 계좌이체) 신분증 및 통장사본, 이체내역서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</si>
</sst>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);[Red]\(#,##0\);\-_)"/>
    <numFmt numFmtId="177" formatCode="_-* #,##0.000_-;\-* #,##0.000_-;_-* &quot;-&quot;_-;_-@_-"/>
    <numFmt numFmtId="178" formatCode="#,##0_);[Red]\(#,##0\)"/>
  </numFmts>
  <fonts count="8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rgb="FF000000"/>
      <name val="HY헤드라인M"/>
      <family val="1"/>
      <charset val="129"/>
    </font>
    <font>
      <b/>
      <u/>
      <sz val="18"/>
      <color rgb="FF000000"/>
      <name val="HY헤드라인M"/>
      <family val="1"/>
      <charset val="129"/>
    </font>
    <font>
      <sz val="10"/>
      <color rgb="FF000000"/>
      <name val="HY그래픽M"/>
      <family val="1"/>
      <charset val="129"/>
    </font>
    <font>
      <sz val="11"/>
      <color theme="1"/>
      <name val="HY그래픽M"/>
      <family val="1"/>
      <charset val="129"/>
    </font>
    <font>
      <sz val="12"/>
      <color theme="1"/>
      <name val="HY그래픽M"/>
      <family val="1"/>
      <charset val="129"/>
    </font>
    <font>
      <b/>
      <sz val="12"/>
      <color theme="1"/>
      <name val="HY그래픽M"/>
      <family val="1"/>
      <charset val="129"/>
    </font>
    <font>
      <i/>
      <sz val="11"/>
      <color theme="1"/>
      <name val="HY그래픽M"/>
      <family val="1"/>
      <charset val="129"/>
    </font>
    <font>
      <b/>
      <sz val="11"/>
      <color theme="1"/>
      <name val="HY그래픽M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2"/>
      <color indexed="81"/>
      <name val="Tahoma"/>
      <family val="2"/>
    </font>
    <font>
      <b/>
      <sz val="12"/>
      <color indexed="10"/>
      <name val="맑은 고딕"/>
      <family val="3"/>
      <charset val="129"/>
    </font>
    <font>
      <sz val="11"/>
      <name val="돋움"/>
      <family val="3"/>
      <charset val="129"/>
    </font>
    <font>
      <b/>
      <sz val="16"/>
      <color theme="1"/>
      <name val="HY그래픽M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8"/>
      <color theme="1"/>
      <name val="HY그래픽M"/>
      <family val="1"/>
      <charset val="129"/>
    </font>
    <font>
      <sz val="10"/>
      <color rgb="FF000000"/>
      <name val="휴먼명조"/>
      <charset val="129"/>
    </font>
    <font>
      <b/>
      <sz val="16"/>
      <color rgb="FF191919"/>
      <name val="휴먼명조"/>
      <charset val="129"/>
    </font>
    <font>
      <b/>
      <sz val="15"/>
      <color rgb="FF191919"/>
      <name val="휴먼명조"/>
      <charset val="129"/>
    </font>
    <font>
      <b/>
      <sz val="15"/>
      <color rgb="FF191919"/>
      <name val="HCI Poppy"/>
      <family val="2"/>
    </font>
    <font>
      <b/>
      <sz val="11"/>
      <color rgb="FF191919"/>
      <name val="한양중고딕"/>
      <family val="3"/>
      <charset val="129"/>
    </font>
    <font>
      <sz val="11"/>
      <color rgb="FF191919"/>
      <name val="한양중고딕"/>
      <family val="3"/>
      <charset val="129"/>
    </font>
    <font>
      <sz val="11"/>
      <color rgb="FF191919"/>
      <name val="맑은 고딕"/>
      <family val="3"/>
      <charset val="129"/>
      <scheme val="minor"/>
    </font>
    <font>
      <b/>
      <vertAlign val="superscript"/>
      <sz val="12"/>
      <color rgb="FF191919"/>
      <name val="휴먼명조"/>
      <charset val="129"/>
    </font>
    <font>
      <sz val="13"/>
      <color rgb="FF191919"/>
      <name val="맑은 고딕"/>
      <family val="3"/>
      <charset val="129"/>
      <scheme val="minor"/>
    </font>
    <font>
      <sz val="13"/>
      <color rgb="FF191919"/>
      <name val="한양중고딕"/>
      <family val="3"/>
      <charset val="129"/>
    </font>
    <font>
      <sz val="15"/>
      <color rgb="FF191919"/>
      <name val="휴먼명조"/>
      <charset val="129"/>
    </font>
    <font>
      <sz val="15"/>
      <color rgb="FF191919"/>
      <name val="HCI Poppy"/>
      <family val="2"/>
    </font>
    <font>
      <b/>
      <sz val="16"/>
      <color rgb="FF000000"/>
      <name val="휴먼명조"/>
      <charset val="129"/>
    </font>
    <font>
      <b/>
      <sz val="15"/>
      <color rgb="FF000000"/>
      <name val="HCI Poppy"/>
      <family val="2"/>
    </font>
    <font>
      <b/>
      <sz val="15"/>
      <color rgb="FF000000"/>
      <name val="휴먼명조"/>
      <charset val="129"/>
    </font>
    <font>
      <sz val="15"/>
      <color rgb="FF000000"/>
      <name val="맑은 고딕"/>
      <family val="3"/>
      <charset val="129"/>
      <scheme val="minor"/>
    </font>
    <font>
      <sz val="15"/>
      <color rgb="FF000000"/>
      <name val="휴먼명조"/>
      <charset val="129"/>
    </font>
    <font>
      <sz val="15"/>
      <color rgb="FF000000"/>
      <name val="HCI Poppy"/>
      <family val="2"/>
    </font>
    <font>
      <sz val="13"/>
      <color rgb="FF000000"/>
      <name val="한양중고딕"/>
      <family val="3"/>
      <charset val="129"/>
    </font>
    <font>
      <sz val="14"/>
      <color rgb="FF000000"/>
      <name val="휴먼명조"/>
      <charset val="129"/>
    </font>
    <font>
      <sz val="14"/>
      <color rgb="FF000000"/>
      <name val="HCI Poppy"/>
      <family val="2"/>
    </font>
    <font>
      <sz val="14"/>
      <color rgb="FF000000"/>
      <name val="맑은 고딕"/>
      <family val="3"/>
      <charset val="129"/>
      <scheme val="minor"/>
    </font>
    <font>
      <b/>
      <sz val="13"/>
      <color rgb="FF000000"/>
      <name val="한양중고딕"/>
      <family val="3"/>
      <charset val="129"/>
    </font>
    <font>
      <sz val="12"/>
      <color rgb="FF000000"/>
      <name val="한양중고딕"/>
      <family val="3"/>
      <charset val="129"/>
    </font>
    <font>
      <b/>
      <i/>
      <u/>
      <sz val="15"/>
      <color rgb="FF000000"/>
      <name val="휴먼명조"/>
      <charset val="129"/>
    </font>
    <font>
      <b/>
      <i/>
      <u/>
      <sz val="15"/>
      <color rgb="FF000000"/>
      <name val="HCI Poppy"/>
      <family val="2"/>
    </font>
    <font>
      <b/>
      <sz val="16"/>
      <color rgb="FF191919"/>
      <name val="HCI Poppy"/>
      <family val="2"/>
    </font>
    <font>
      <sz val="11"/>
      <color rgb="FF191919"/>
      <name val="Arial Unicode MS"/>
      <family val="3"/>
      <charset val="129"/>
    </font>
    <font>
      <b/>
      <sz val="11"/>
      <color rgb="FF191919"/>
      <name val="Arial Unicode MS"/>
      <family val="3"/>
      <charset val="129"/>
    </font>
    <font>
      <b/>
      <sz val="15"/>
      <color rgb="FF191919"/>
      <name val="맑은 고딕"/>
      <family val="3"/>
      <charset val="129"/>
      <scheme val="minor"/>
    </font>
    <font>
      <b/>
      <vertAlign val="superscript"/>
      <sz val="12"/>
      <color rgb="FF0070C0"/>
      <name val="휴먼명조"/>
      <charset val="129"/>
    </font>
    <font>
      <sz val="11"/>
      <color rgb="FF191919"/>
      <name val="Calibri"/>
      <family val="3"/>
    </font>
    <font>
      <sz val="15"/>
      <color rgb="FF191919"/>
      <name val="HCI Poppy"/>
      <family val="3"/>
      <charset val="129"/>
    </font>
    <font>
      <sz val="13"/>
      <color rgb="FF191919"/>
      <name val="한양중고딕"/>
      <family val="3"/>
    </font>
    <font>
      <sz val="13"/>
      <color rgb="FF191919"/>
      <name val="Segoe UI Symbol"/>
      <family val="3"/>
    </font>
    <font>
      <sz val="13"/>
      <color rgb="FF191919"/>
      <name val="Calibri"/>
      <family val="3"/>
    </font>
    <font>
      <sz val="13"/>
      <color rgb="FF191919"/>
      <name val="맑은 고딕"/>
      <family val="3"/>
      <charset val="129"/>
    </font>
    <font>
      <sz val="15"/>
      <color rgb="FF000000"/>
      <name val="HCI Poppy"/>
      <family val="3"/>
      <charset val="129"/>
    </font>
    <font>
      <sz val="13"/>
      <color rgb="FF000000"/>
      <name val="한양중고딕"/>
      <family val="3"/>
    </font>
    <font>
      <b/>
      <sz val="13"/>
      <color rgb="FF000000"/>
      <name val="맑은 고딕"/>
      <family val="3"/>
      <charset val="129"/>
    </font>
    <font>
      <sz val="12"/>
      <color rgb="FF000000"/>
      <name val="Segoe UI Symbol"/>
      <family val="3"/>
    </font>
    <font>
      <sz val="12"/>
      <color rgb="FF000000"/>
      <name val="맑은 고딕"/>
      <family val="3"/>
      <charset val="129"/>
    </font>
    <font>
      <b/>
      <sz val="15"/>
      <color rgb="FF000000"/>
      <name val="휴먼명조"/>
      <family val="2"/>
      <charset val="129"/>
    </font>
    <font>
      <b/>
      <sz val="15"/>
      <color rgb="FF000000"/>
      <name val="휴먼명조"/>
      <family val="3"/>
      <charset val="129"/>
    </font>
    <font>
      <b/>
      <vertAlign val="superscript"/>
      <sz val="12"/>
      <color rgb="FF191919"/>
      <name val="한양중고딕"/>
      <family val="3"/>
      <charset val="129"/>
    </font>
    <font>
      <b/>
      <vertAlign val="superscript"/>
      <sz val="12"/>
      <color rgb="FF0070C0"/>
      <name val="한양중고딕"/>
      <family val="3"/>
      <charset val="129"/>
    </font>
    <font>
      <b/>
      <u/>
      <sz val="15"/>
      <color rgb="FF000000"/>
      <name val="휴먼명조"/>
      <charset val="129"/>
    </font>
    <font>
      <b/>
      <u/>
      <sz val="15"/>
      <color rgb="FF000000"/>
      <name val="맑은 고딕"/>
      <family val="2"/>
      <charset val="129"/>
    </font>
    <font>
      <b/>
      <u/>
      <sz val="13"/>
      <color rgb="FF191919"/>
      <name val="한양중고딕"/>
      <family val="3"/>
      <charset val="129"/>
    </font>
    <font>
      <sz val="11"/>
      <color rgb="FF191919"/>
      <name val="맑은 고딕"/>
      <family val="3"/>
      <charset val="129"/>
    </font>
    <font>
      <b/>
      <sz val="15"/>
      <color rgb="FF191919"/>
      <name val="Segoe UI Symbol"/>
      <family val="2"/>
    </font>
    <font>
      <sz val="13"/>
      <color rgb="FF191919"/>
      <name val="Arial Unicode MS"/>
      <family val="3"/>
      <charset val="129"/>
    </font>
    <font>
      <sz val="11"/>
      <color rgb="FF191919"/>
      <name val="굴림"/>
      <family val="3"/>
      <charset val="129"/>
    </font>
    <font>
      <sz val="13"/>
      <color rgb="FF191919"/>
      <name val="굴림"/>
      <family val="3"/>
      <charset val="129"/>
    </font>
    <font>
      <sz val="13"/>
      <color rgb="FF000000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5"/>
      <color rgb="FF191919"/>
      <name val="휴먼명조"/>
      <family val="2"/>
      <charset val="129"/>
    </font>
    <font>
      <sz val="11"/>
      <color rgb="FF000000"/>
      <name val="HY그래픽M"/>
      <family val="1"/>
      <charset val="129"/>
    </font>
    <font>
      <b/>
      <sz val="11"/>
      <color rgb="FF000000"/>
      <name val="HY그래픽M"/>
      <family val="1"/>
      <charset val="129"/>
    </font>
    <font>
      <b/>
      <sz val="18"/>
      <color theme="1"/>
      <name val="맑은 고딕"/>
      <family val="3"/>
      <charset val="129"/>
      <scheme val="minor"/>
    </font>
    <font>
      <b/>
      <sz val="16"/>
      <color rgb="FFFF0000"/>
      <name val="휴먼명조"/>
      <charset val="129"/>
    </font>
    <font>
      <b/>
      <sz val="15"/>
      <color rgb="FFFF0000"/>
      <name val="휴먼명조"/>
      <charset val="129"/>
    </font>
    <font>
      <sz val="13"/>
      <color rgb="FFFF0000"/>
      <name val="한양중고딕"/>
      <family val="3"/>
      <charset val="129"/>
    </font>
    <font>
      <sz val="13"/>
      <color rgb="FFFF0000"/>
      <name val="휴먼명조"/>
      <family val="3"/>
      <charset val="129"/>
    </font>
    <font>
      <sz val="11"/>
      <color rgb="FF0070C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theme="9" tint="0.79998168889431442"/>
        <bgColor indexed="64"/>
      </patternFill>
    </fill>
  </fills>
  <borders count="9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 diagonalDown="1">
      <left/>
      <right style="medium">
        <color indexed="64"/>
      </right>
      <top style="medium">
        <color indexed="64"/>
      </top>
      <bottom/>
      <diagonal style="thin">
        <color indexed="64"/>
      </diagonal>
    </border>
    <border diagonalDown="1">
      <left/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3" fillId="0" borderId="0"/>
    <xf numFmtId="41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0" fontId="15" fillId="0" borderId="0">
      <alignment vertical="center"/>
    </xf>
  </cellStyleXfs>
  <cellXfs count="450">
    <xf numFmtId="0" fontId="0" fillId="0" borderId="0" xfId="0">
      <alignment vertical="center"/>
    </xf>
    <xf numFmtId="176" fontId="5" fillId="3" borderId="32" xfId="1" applyNumberFormat="1" applyFont="1" applyFill="1" applyBorder="1" applyAlignment="1">
      <alignment vertical="center"/>
    </xf>
    <xf numFmtId="176" fontId="7" fillId="3" borderId="0" xfId="0" applyNumberFormat="1" applyFont="1" applyFill="1">
      <alignment vertical="center"/>
    </xf>
    <xf numFmtId="176" fontId="5" fillId="0" borderId="0" xfId="0" applyNumberFormat="1" applyFont="1" applyProtection="1">
      <alignment vertical="center"/>
      <protection hidden="1"/>
    </xf>
    <xf numFmtId="176" fontId="5" fillId="0" borderId="4" xfId="0" applyNumberFormat="1" applyFont="1" applyBorder="1" applyProtection="1">
      <alignment vertical="center"/>
      <protection hidden="1"/>
    </xf>
    <xf numFmtId="176" fontId="5" fillId="0" borderId="5" xfId="0" applyNumberFormat="1" applyFont="1" applyBorder="1" applyProtection="1">
      <alignment vertical="center"/>
      <protection hidden="1"/>
    </xf>
    <xf numFmtId="176" fontId="5" fillId="0" borderId="0" xfId="0" applyNumberFormat="1" applyFont="1" applyAlignment="1" applyProtection="1">
      <alignment horizontal="left" vertical="center"/>
      <protection hidden="1"/>
    </xf>
    <xf numFmtId="176" fontId="5" fillId="0" borderId="6" xfId="0" applyNumberFormat="1" applyFont="1" applyBorder="1" applyProtection="1">
      <alignment vertical="center"/>
      <protection hidden="1"/>
    </xf>
    <xf numFmtId="176" fontId="5" fillId="0" borderId="7" xfId="0" applyNumberFormat="1" applyFont="1" applyBorder="1" applyProtection="1">
      <alignment vertical="center"/>
      <protection hidden="1"/>
    </xf>
    <xf numFmtId="176" fontId="5" fillId="0" borderId="8" xfId="0" applyNumberFormat="1" applyFont="1" applyBorder="1" applyProtection="1">
      <alignment vertical="center"/>
      <protection hidden="1"/>
    </xf>
    <xf numFmtId="176" fontId="6" fillId="0" borderId="0" xfId="0" applyNumberFormat="1" applyFont="1" applyProtection="1">
      <alignment vertical="center"/>
      <protection hidden="1"/>
    </xf>
    <xf numFmtId="176" fontId="0" fillId="0" borderId="0" xfId="0" applyNumberFormat="1" applyProtection="1">
      <alignment vertical="center"/>
      <protection hidden="1"/>
    </xf>
    <xf numFmtId="176" fontId="5" fillId="0" borderId="0" xfId="0" applyNumberFormat="1" applyFont="1" applyAlignment="1" applyProtection="1">
      <alignment vertical="center" wrapText="1"/>
      <protection hidden="1"/>
    </xf>
    <xf numFmtId="176" fontId="9" fillId="0" borderId="42" xfId="0" applyNumberFormat="1" applyFont="1" applyBorder="1" applyProtection="1">
      <alignment vertical="center"/>
      <protection hidden="1"/>
    </xf>
    <xf numFmtId="176" fontId="4" fillId="0" borderId="0" xfId="0" applyNumberFormat="1" applyFont="1" applyProtection="1">
      <alignment vertical="center"/>
      <protection hidden="1"/>
    </xf>
    <xf numFmtId="176" fontId="5" fillId="0" borderId="9" xfId="1" applyNumberFormat="1" applyFont="1" applyBorder="1" applyAlignment="1" applyProtection="1">
      <alignment vertical="center"/>
      <protection hidden="1"/>
    </xf>
    <xf numFmtId="176" fontId="5" fillId="0" borderId="17" xfId="1" applyNumberFormat="1" applyFont="1" applyBorder="1" applyAlignment="1" applyProtection="1">
      <alignment vertical="center"/>
      <protection hidden="1"/>
    </xf>
    <xf numFmtId="176" fontId="5" fillId="0" borderId="32" xfId="1" applyNumberFormat="1" applyFont="1" applyBorder="1" applyAlignment="1" applyProtection="1">
      <alignment vertical="center"/>
      <protection hidden="1"/>
    </xf>
    <xf numFmtId="176" fontId="5" fillId="0" borderId="32" xfId="1" applyNumberFormat="1" applyFont="1" applyFill="1" applyBorder="1" applyAlignment="1" applyProtection="1">
      <alignment vertical="center"/>
      <protection hidden="1"/>
    </xf>
    <xf numFmtId="176" fontId="9" fillId="0" borderId="0" xfId="0" applyNumberFormat="1" applyFont="1" applyProtection="1">
      <alignment vertical="center"/>
      <protection hidden="1"/>
    </xf>
    <xf numFmtId="176" fontId="5" fillId="0" borderId="9" xfId="1" applyNumberFormat="1" applyFont="1" applyFill="1" applyBorder="1" applyAlignment="1" applyProtection="1">
      <alignment vertical="center"/>
      <protection hidden="1"/>
    </xf>
    <xf numFmtId="177" fontId="5" fillId="0" borderId="0" xfId="1" applyNumberFormat="1" applyFont="1" applyBorder="1" applyProtection="1">
      <alignment vertical="center"/>
      <protection hidden="1"/>
    </xf>
    <xf numFmtId="176" fontId="9" fillId="0" borderId="0" xfId="0" quotePrefix="1" applyNumberFormat="1" applyFont="1" applyProtection="1">
      <alignment vertical="center"/>
      <protection hidden="1"/>
    </xf>
    <xf numFmtId="176" fontId="0" fillId="0" borderId="1" xfId="0" applyNumberFormat="1" applyBorder="1" applyProtection="1">
      <alignment vertical="center"/>
      <protection hidden="1"/>
    </xf>
    <xf numFmtId="176" fontId="0" fillId="0" borderId="3" xfId="0" applyNumberFormat="1" applyBorder="1" applyProtection="1">
      <alignment vertical="center"/>
      <protection hidden="1"/>
    </xf>
    <xf numFmtId="176" fontId="9" fillId="0" borderId="4" xfId="0" applyNumberFormat="1" applyFont="1" applyBorder="1" applyProtection="1">
      <alignment vertical="center"/>
      <protection hidden="1"/>
    </xf>
    <xf numFmtId="176" fontId="9" fillId="0" borderId="5" xfId="0" applyNumberFormat="1" applyFont="1" applyBorder="1" applyProtection="1">
      <alignment vertical="center"/>
      <protection hidden="1"/>
    </xf>
    <xf numFmtId="176" fontId="9" fillId="0" borderId="43" xfId="0" applyNumberFormat="1" applyFont="1" applyBorder="1" applyProtection="1">
      <alignment vertical="center"/>
      <protection hidden="1"/>
    </xf>
    <xf numFmtId="176" fontId="5" fillId="3" borderId="48" xfId="1" applyNumberFormat="1" applyFont="1" applyFill="1" applyBorder="1" applyAlignment="1">
      <alignment vertical="center"/>
    </xf>
    <xf numFmtId="176" fontId="5" fillId="0" borderId="48" xfId="1" applyNumberFormat="1" applyFont="1" applyBorder="1" applyAlignment="1" applyProtection="1">
      <alignment vertical="center"/>
      <protection hidden="1"/>
    </xf>
    <xf numFmtId="176" fontId="5" fillId="0" borderId="48" xfId="1" applyNumberFormat="1" applyFont="1" applyFill="1" applyBorder="1" applyAlignment="1" applyProtection="1">
      <alignment vertical="center"/>
      <protection hidden="1"/>
    </xf>
    <xf numFmtId="176" fontId="5" fillId="0" borderId="50" xfId="1" applyNumberFormat="1" applyFont="1" applyBorder="1" applyAlignment="1" applyProtection="1">
      <alignment vertical="center"/>
      <protection hidden="1"/>
    </xf>
    <xf numFmtId="176" fontId="5" fillId="3" borderId="12" xfId="1" applyNumberFormat="1" applyFont="1" applyFill="1" applyBorder="1" applyAlignment="1">
      <alignment vertical="center"/>
    </xf>
    <xf numFmtId="176" fontId="5" fillId="3" borderId="59" xfId="1" applyNumberFormat="1" applyFont="1" applyFill="1" applyBorder="1" applyAlignment="1">
      <alignment vertical="center"/>
    </xf>
    <xf numFmtId="176" fontId="5" fillId="3" borderId="28" xfId="1" applyNumberFormat="1" applyFont="1" applyFill="1" applyBorder="1" applyAlignment="1">
      <alignment vertical="center"/>
    </xf>
    <xf numFmtId="176" fontId="5" fillId="3" borderId="15" xfId="1" applyNumberFormat="1" applyFont="1" applyFill="1" applyBorder="1" applyAlignment="1">
      <alignment vertical="center"/>
    </xf>
    <xf numFmtId="176" fontId="5" fillId="0" borderId="15" xfId="1" applyNumberFormat="1" applyFont="1" applyBorder="1" applyAlignment="1" applyProtection="1">
      <alignment vertical="center"/>
      <protection hidden="1"/>
    </xf>
    <xf numFmtId="176" fontId="5" fillId="0" borderId="15" xfId="1" applyNumberFormat="1" applyFont="1" applyFill="1" applyBorder="1" applyAlignment="1" applyProtection="1">
      <alignment vertical="center"/>
      <protection hidden="1"/>
    </xf>
    <xf numFmtId="176" fontId="5" fillId="0" borderId="23" xfId="1" applyNumberFormat="1" applyFont="1" applyBorder="1" applyAlignment="1" applyProtection="1">
      <alignment vertical="center"/>
      <protection hidden="1"/>
    </xf>
    <xf numFmtId="176" fontId="9" fillId="0" borderId="6" xfId="1" applyNumberFormat="1" applyFont="1" applyFill="1" applyBorder="1" applyAlignment="1">
      <alignment vertical="center"/>
    </xf>
    <xf numFmtId="176" fontId="9" fillId="0" borderId="44" xfId="1" applyNumberFormat="1" applyFont="1" applyFill="1" applyBorder="1" applyAlignment="1">
      <alignment vertical="center"/>
    </xf>
    <xf numFmtId="176" fontId="9" fillId="0" borderId="42" xfId="1" applyNumberFormat="1" applyFont="1" applyBorder="1" applyAlignment="1" applyProtection="1">
      <alignment vertical="center"/>
      <protection hidden="1"/>
    </xf>
    <xf numFmtId="176" fontId="9" fillId="0" borderId="44" xfId="1" applyNumberFormat="1" applyFont="1" applyFill="1" applyBorder="1" applyAlignment="1" applyProtection="1">
      <alignment vertical="center"/>
      <protection hidden="1"/>
    </xf>
    <xf numFmtId="176" fontId="9" fillId="0" borderId="43" xfId="1" applyNumberFormat="1" applyFont="1" applyBorder="1" applyAlignment="1" applyProtection="1">
      <alignment vertical="center"/>
      <protection hidden="1"/>
    </xf>
    <xf numFmtId="176" fontId="7" fillId="2" borderId="64" xfId="0" applyNumberFormat="1" applyFont="1" applyFill="1" applyBorder="1" applyAlignment="1" applyProtection="1">
      <alignment horizontal="center" vertical="center"/>
      <protection hidden="1"/>
    </xf>
    <xf numFmtId="176" fontId="7" fillId="2" borderId="65" xfId="0" applyNumberFormat="1" applyFont="1" applyFill="1" applyBorder="1" applyAlignment="1" applyProtection="1">
      <alignment horizontal="center" vertical="center"/>
      <protection hidden="1"/>
    </xf>
    <xf numFmtId="176" fontId="7" fillId="2" borderId="65" xfId="0" quotePrefix="1" applyNumberFormat="1" applyFont="1" applyFill="1" applyBorder="1" applyAlignment="1" applyProtection="1">
      <alignment horizontal="center" vertical="center" wrapText="1"/>
      <protection hidden="1"/>
    </xf>
    <xf numFmtId="176" fontId="7" fillId="2" borderId="65" xfId="0" quotePrefix="1" applyNumberFormat="1" applyFont="1" applyFill="1" applyBorder="1" applyAlignment="1" applyProtection="1">
      <alignment horizontal="center" vertical="center"/>
      <protection hidden="1"/>
    </xf>
    <xf numFmtId="176" fontId="7" fillId="2" borderId="56" xfId="0" quotePrefix="1" applyNumberFormat="1" applyFont="1" applyFill="1" applyBorder="1" applyAlignment="1" applyProtection="1">
      <alignment horizontal="center" vertical="center"/>
      <protection hidden="1"/>
    </xf>
    <xf numFmtId="176" fontId="7" fillId="2" borderId="66" xfId="0" quotePrefix="1" applyNumberFormat="1" applyFont="1" applyFill="1" applyBorder="1" applyAlignment="1" applyProtection="1">
      <alignment horizontal="center" vertical="center"/>
      <protection hidden="1"/>
    </xf>
    <xf numFmtId="176" fontId="7" fillId="2" borderId="67" xfId="0" quotePrefix="1" applyNumberFormat="1" applyFont="1" applyFill="1" applyBorder="1" applyAlignment="1" applyProtection="1">
      <alignment horizontal="center" vertical="center"/>
      <protection hidden="1"/>
    </xf>
    <xf numFmtId="176" fontId="5" fillId="3" borderId="21" xfId="1" applyNumberFormat="1" applyFont="1" applyFill="1" applyBorder="1" applyAlignment="1">
      <alignment vertical="center"/>
    </xf>
    <xf numFmtId="176" fontId="5" fillId="3" borderId="36" xfId="1" applyNumberFormat="1" applyFont="1" applyFill="1" applyBorder="1" applyAlignment="1">
      <alignment vertical="center"/>
    </xf>
    <xf numFmtId="176" fontId="5" fillId="0" borderId="36" xfId="1" applyNumberFormat="1" applyFont="1" applyFill="1" applyBorder="1" applyAlignment="1" applyProtection="1">
      <alignment vertical="center"/>
      <protection hidden="1"/>
    </xf>
    <xf numFmtId="176" fontId="9" fillId="0" borderId="7" xfId="1" applyNumberFormat="1" applyFont="1" applyFill="1" applyBorder="1" applyAlignment="1">
      <alignment vertical="center"/>
    </xf>
    <xf numFmtId="176" fontId="9" fillId="0" borderId="42" xfId="1" applyNumberFormat="1" applyFont="1" applyFill="1" applyBorder="1" applyAlignment="1" applyProtection="1">
      <alignment vertical="center"/>
      <protection hidden="1"/>
    </xf>
    <xf numFmtId="176" fontId="9" fillId="0" borderId="74" xfId="1" applyNumberFormat="1" applyFont="1" applyFill="1" applyBorder="1" applyAlignment="1">
      <alignment vertical="center"/>
    </xf>
    <xf numFmtId="176" fontId="9" fillId="0" borderId="75" xfId="1" applyNumberFormat="1" applyFont="1" applyFill="1" applyBorder="1" applyAlignment="1">
      <alignment vertical="center"/>
    </xf>
    <xf numFmtId="176" fontId="5" fillId="0" borderId="17" xfId="1" applyNumberFormat="1" applyFont="1" applyBorder="1" applyAlignment="1" applyProtection="1">
      <alignment horizontal="center" vertical="center"/>
      <protection hidden="1"/>
    </xf>
    <xf numFmtId="176" fontId="0" fillId="0" borderId="9" xfId="0" applyNumberFormat="1" applyBorder="1">
      <alignment vertical="center"/>
    </xf>
    <xf numFmtId="176" fontId="0" fillId="0" borderId="15" xfId="0" applyNumberFormat="1" applyBorder="1">
      <alignment vertical="center"/>
    </xf>
    <xf numFmtId="176" fontId="0" fillId="0" borderId="48" xfId="0" applyNumberFormat="1" applyBorder="1">
      <alignment vertical="center"/>
    </xf>
    <xf numFmtId="176" fontId="5" fillId="3" borderId="9" xfId="0" applyNumberFormat="1" applyFont="1" applyFill="1" applyBorder="1" applyProtection="1">
      <alignment vertical="center"/>
      <protection hidden="1"/>
    </xf>
    <xf numFmtId="176" fontId="9" fillId="2" borderId="14" xfId="0" applyNumberFormat="1" applyFont="1" applyFill="1" applyBorder="1" applyAlignment="1" applyProtection="1">
      <alignment horizontal="center" vertical="center"/>
      <protection hidden="1"/>
    </xf>
    <xf numFmtId="176" fontId="9" fillId="2" borderId="15" xfId="0" applyNumberFormat="1" applyFont="1" applyFill="1" applyBorder="1" applyAlignment="1" applyProtection="1">
      <alignment horizontal="center" vertical="center"/>
      <protection hidden="1"/>
    </xf>
    <xf numFmtId="176" fontId="9" fillId="2" borderId="23" xfId="0" applyNumberFormat="1" applyFont="1" applyFill="1" applyBorder="1" applyAlignment="1" applyProtection="1">
      <alignment horizontal="center" vertical="center"/>
      <protection hidden="1"/>
    </xf>
    <xf numFmtId="176" fontId="5" fillId="0" borderId="16" xfId="0" applyNumberFormat="1" applyFont="1" applyBorder="1" applyAlignment="1" applyProtection="1">
      <alignment horizontal="center" vertical="center"/>
      <protection hidden="1"/>
    </xf>
    <xf numFmtId="176" fontId="9" fillId="0" borderId="17" xfId="1" applyNumberFormat="1" applyFont="1" applyBorder="1" applyAlignment="1" applyProtection="1">
      <alignment horizontal="center" vertical="center"/>
      <protection hidden="1"/>
    </xf>
    <xf numFmtId="176" fontId="5" fillId="0" borderId="18" xfId="0" applyNumberFormat="1" applyFont="1" applyBorder="1" applyAlignment="1" applyProtection="1">
      <alignment horizontal="center" vertical="center"/>
      <protection hidden="1"/>
    </xf>
    <xf numFmtId="176" fontId="5" fillId="3" borderId="19" xfId="0" applyNumberFormat="1" applyFont="1" applyFill="1" applyBorder="1" applyProtection="1">
      <alignment vertical="center"/>
      <protection hidden="1"/>
    </xf>
    <xf numFmtId="176" fontId="9" fillId="0" borderId="24" xfId="1" applyNumberFormat="1" applyFont="1" applyBorder="1" applyAlignment="1" applyProtection="1">
      <alignment horizontal="center" vertical="center"/>
      <protection hidden="1"/>
    </xf>
    <xf numFmtId="176" fontId="5" fillId="3" borderId="25" xfId="0" applyNumberFormat="1" applyFont="1" applyFill="1" applyBorder="1">
      <alignment vertical="center"/>
    </xf>
    <xf numFmtId="176" fontId="5" fillId="3" borderId="13" xfId="0" applyNumberFormat="1" applyFont="1" applyFill="1" applyBorder="1">
      <alignment vertical="center"/>
    </xf>
    <xf numFmtId="176" fontId="5" fillId="3" borderId="49" xfId="0" applyNumberFormat="1" applyFont="1" applyFill="1" applyBorder="1">
      <alignment vertical="center"/>
    </xf>
    <xf numFmtId="176" fontId="9" fillId="0" borderId="53" xfId="0" applyNumberFormat="1" applyFont="1" applyBorder="1" applyProtection="1">
      <alignment vertical="center"/>
      <protection hidden="1"/>
    </xf>
    <xf numFmtId="176" fontId="5" fillId="3" borderId="51" xfId="0" applyNumberFormat="1" applyFont="1" applyFill="1" applyBorder="1">
      <alignment vertical="center"/>
    </xf>
    <xf numFmtId="176" fontId="5" fillId="3" borderId="27" xfId="0" applyNumberFormat="1" applyFont="1" applyFill="1" applyBorder="1">
      <alignment vertical="center"/>
    </xf>
    <xf numFmtId="176" fontId="5" fillId="3" borderId="15" xfId="0" applyNumberFormat="1" applyFont="1" applyFill="1" applyBorder="1">
      <alignment vertical="center"/>
    </xf>
    <xf numFmtId="176" fontId="5" fillId="3" borderId="9" xfId="0" applyNumberFormat="1" applyFont="1" applyFill="1" applyBorder="1">
      <alignment vertical="center"/>
    </xf>
    <xf numFmtId="176" fontId="5" fillId="3" borderId="48" xfId="0" applyNumberFormat="1" applyFont="1" applyFill="1" applyBorder="1">
      <alignment vertical="center"/>
    </xf>
    <xf numFmtId="176" fontId="9" fillId="0" borderId="74" xfId="0" applyNumberFormat="1" applyFont="1" applyBorder="1" applyProtection="1">
      <alignment vertical="center"/>
      <protection hidden="1"/>
    </xf>
    <xf numFmtId="176" fontId="7" fillId="2" borderId="19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9" xfId="0" applyBorder="1" applyAlignment="1">
      <alignment horizontal="center" vertical="center"/>
    </xf>
    <xf numFmtId="176" fontId="7" fillId="0" borderId="0" xfId="0" applyNumberFormat="1" applyFont="1" applyAlignment="1" applyProtection="1">
      <alignment horizontal="center" vertical="center"/>
      <protection hidden="1"/>
    </xf>
    <xf numFmtId="176" fontId="7" fillId="2" borderId="27" xfId="0" applyNumberFormat="1" applyFont="1" applyFill="1" applyBorder="1" applyAlignment="1" applyProtection="1">
      <alignment horizontal="center" vertical="center"/>
      <protection hidden="1"/>
    </xf>
    <xf numFmtId="176" fontId="5" fillId="3" borderId="33" xfId="1" applyNumberFormat="1" applyFont="1" applyFill="1" applyBorder="1" applyAlignment="1">
      <alignment vertical="center"/>
    </xf>
    <xf numFmtId="176" fontId="0" fillId="0" borderId="32" xfId="0" applyNumberFormat="1" applyBorder="1">
      <alignment vertical="center"/>
    </xf>
    <xf numFmtId="176" fontId="5" fillId="0" borderId="60" xfId="1" applyNumberFormat="1" applyFont="1" applyBorder="1" applyAlignment="1" applyProtection="1">
      <alignment vertical="center"/>
      <protection hidden="1"/>
    </xf>
    <xf numFmtId="176" fontId="7" fillId="2" borderId="25" xfId="0" quotePrefix="1" applyNumberFormat="1" applyFont="1" applyFill="1" applyBorder="1" applyAlignment="1" applyProtection="1">
      <alignment horizontal="center" vertical="center" wrapText="1"/>
      <protection hidden="1"/>
    </xf>
    <xf numFmtId="176" fontId="7" fillId="2" borderId="25" xfId="0" quotePrefix="1" applyNumberFormat="1" applyFont="1" applyFill="1" applyBorder="1" applyAlignment="1" applyProtection="1">
      <alignment horizontal="center" vertical="center"/>
      <protection hidden="1"/>
    </xf>
    <xf numFmtId="176" fontId="7" fillId="2" borderId="73" xfId="0" quotePrefix="1" applyNumberFormat="1" applyFont="1" applyFill="1" applyBorder="1" applyAlignment="1" applyProtection="1">
      <alignment horizontal="center" vertical="center"/>
      <protection hidden="1"/>
    </xf>
    <xf numFmtId="176" fontId="7" fillId="2" borderId="51" xfId="0" quotePrefix="1" applyNumberFormat="1" applyFont="1" applyFill="1" applyBorder="1" applyAlignment="1" applyProtection="1">
      <alignment horizontal="center" vertical="center"/>
      <protection hidden="1"/>
    </xf>
    <xf numFmtId="176" fontId="7" fillId="2" borderId="67" xfId="0" applyNumberFormat="1" applyFont="1" applyFill="1" applyBorder="1" applyAlignment="1" applyProtection="1">
      <alignment horizontal="center" vertical="center"/>
      <protection hidden="1"/>
    </xf>
    <xf numFmtId="176" fontId="5" fillId="0" borderId="17" xfId="1" applyNumberFormat="1" applyFont="1" applyBorder="1" applyAlignment="1" applyProtection="1">
      <alignment horizontal="center" vertical="center" wrapText="1"/>
      <protection hidden="1"/>
    </xf>
    <xf numFmtId="3" fontId="17" fillId="0" borderId="0" xfId="0" applyNumberFormat="1" applyFont="1" applyAlignment="1">
      <alignment horizontal="center" vertical="center" wrapText="1"/>
    </xf>
    <xf numFmtId="176" fontId="5" fillId="3" borderId="12" xfId="0" applyNumberFormat="1" applyFont="1" applyFill="1" applyBorder="1">
      <alignment vertical="center"/>
    </xf>
    <xf numFmtId="176" fontId="5" fillId="0" borderId="11" xfId="0" applyNumberFormat="1" applyFont="1" applyBorder="1">
      <alignment vertical="center"/>
    </xf>
    <xf numFmtId="176" fontId="5" fillId="0" borderId="13" xfId="0" applyNumberFormat="1" applyFont="1" applyBorder="1">
      <alignment vertical="center"/>
    </xf>
    <xf numFmtId="0" fontId="21" fillId="6" borderId="0" xfId="0" applyFont="1" applyFill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1" fillId="6" borderId="76" xfId="0" applyFont="1" applyFill="1" applyBorder="1" applyAlignment="1">
      <alignment horizontal="center" vertical="center" wrapText="1"/>
    </xf>
    <xf numFmtId="0" fontId="21" fillId="6" borderId="15" xfId="0" applyFont="1" applyFill="1" applyBorder="1" applyAlignment="1">
      <alignment horizontal="center" vertical="center" wrapText="1"/>
    </xf>
    <xf numFmtId="0" fontId="21" fillId="6" borderId="4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176" fontId="14" fillId="2" borderId="56" xfId="0" quotePrefix="1" applyNumberFormat="1" applyFont="1" applyFill="1" applyBorder="1" applyAlignment="1" applyProtection="1">
      <alignment horizontal="center" vertical="center"/>
      <protection hidden="1"/>
    </xf>
    <xf numFmtId="0" fontId="18" fillId="0" borderId="0" xfId="0" applyFont="1" applyAlignment="1">
      <alignment horizontal="left" vertical="center"/>
    </xf>
    <xf numFmtId="0" fontId="72" fillId="0" borderId="0" xfId="0" applyFont="1" applyAlignment="1"/>
    <xf numFmtId="0" fontId="0" fillId="0" borderId="9" xfId="0" applyBorder="1">
      <alignment vertical="center"/>
    </xf>
    <xf numFmtId="0" fontId="0" fillId="2" borderId="9" xfId="0" applyFill="1" applyBorder="1">
      <alignment vertical="center"/>
    </xf>
    <xf numFmtId="176" fontId="7" fillId="2" borderId="58" xfId="0" quotePrefix="1" applyNumberFormat="1" applyFont="1" applyFill="1" applyBorder="1" applyAlignment="1" applyProtection="1">
      <alignment horizontal="center" vertical="center"/>
      <protection hidden="1"/>
    </xf>
    <xf numFmtId="176" fontId="5" fillId="0" borderId="79" xfId="1" applyNumberFormat="1" applyFont="1" applyBorder="1" applyAlignment="1" applyProtection="1">
      <alignment vertical="center"/>
      <protection hidden="1"/>
    </xf>
    <xf numFmtId="176" fontId="5" fillId="0" borderId="79" xfId="1" applyNumberFormat="1" applyFont="1" applyFill="1" applyBorder="1" applyAlignment="1" applyProtection="1">
      <alignment vertical="center"/>
      <protection hidden="1"/>
    </xf>
    <xf numFmtId="176" fontId="5" fillId="0" borderId="85" xfId="1" applyNumberFormat="1" applyFont="1" applyBorder="1" applyAlignment="1" applyProtection="1">
      <alignment vertical="center"/>
      <protection hidden="1"/>
    </xf>
    <xf numFmtId="176" fontId="7" fillId="2" borderId="53" xfId="0" quotePrefix="1" applyNumberFormat="1" applyFont="1" applyFill="1" applyBorder="1" applyAlignment="1" applyProtection="1">
      <alignment horizontal="center" vertical="center"/>
      <protection hidden="1"/>
    </xf>
    <xf numFmtId="0" fontId="15" fillId="0" borderId="0" xfId="0" applyFont="1" applyAlignment="1"/>
    <xf numFmtId="176" fontId="74" fillId="2" borderId="36" xfId="0" applyNumberFormat="1" applyFont="1" applyFill="1" applyBorder="1" applyAlignment="1">
      <alignment horizontal="center" vertical="center" wrapText="1"/>
    </xf>
    <xf numFmtId="176" fontId="15" fillId="0" borderId="16" xfId="0" applyNumberFormat="1" applyFont="1" applyBorder="1" applyAlignment="1">
      <alignment horizontal="center" vertical="center"/>
    </xf>
    <xf numFmtId="14" fontId="15" fillId="5" borderId="9" xfId="0" applyNumberFormat="1" applyFont="1" applyFill="1" applyBorder="1" applyAlignment="1">
      <alignment horizontal="center" vertical="center" wrapText="1"/>
    </xf>
    <xf numFmtId="176" fontId="15" fillId="0" borderId="9" xfId="0" applyNumberFormat="1" applyFont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41" fontId="15" fillId="0" borderId="11" xfId="1" applyFont="1" applyBorder="1" applyAlignment="1">
      <alignment horizontal="center" vertical="center"/>
    </xf>
    <xf numFmtId="41" fontId="15" fillId="0" borderId="17" xfId="1" applyFont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14" fontId="15" fillId="5" borderId="13" xfId="0" applyNumberFormat="1" applyFont="1" applyFill="1" applyBorder="1" applyAlignment="1">
      <alignment horizontal="center" vertical="center" wrapText="1"/>
    </xf>
    <xf numFmtId="176" fontId="15" fillId="4" borderId="13" xfId="0" applyNumberFormat="1" applyFont="1" applyFill="1" applyBorder="1" applyAlignment="1">
      <alignment horizontal="center" vertical="center"/>
    </xf>
    <xf numFmtId="176" fontId="15" fillId="4" borderId="9" xfId="0" applyNumberFormat="1" applyFont="1" applyFill="1" applyBorder="1" applyAlignment="1">
      <alignment horizontal="center" vertical="center"/>
    </xf>
    <xf numFmtId="41" fontId="15" fillId="4" borderId="11" xfId="1" applyFont="1" applyFill="1" applyBorder="1" applyAlignment="1">
      <alignment horizontal="center" vertical="center"/>
    </xf>
    <xf numFmtId="41" fontId="15" fillId="4" borderId="17" xfId="1" applyFont="1" applyFill="1" applyBorder="1" applyAlignment="1">
      <alignment horizontal="center" vertical="center"/>
    </xf>
    <xf numFmtId="0" fontId="76" fillId="2" borderId="9" xfId="0" applyFont="1" applyFill="1" applyBorder="1" applyAlignment="1">
      <alignment horizontal="center"/>
    </xf>
    <xf numFmtId="0" fontId="76" fillId="2" borderId="79" xfId="0" applyFont="1" applyFill="1" applyBorder="1" applyAlignment="1">
      <alignment horizontal="center"/>
    </xf>
    <xf numFmtId="0" fontId="76" fillId="2" borderId="11" xfId="0" applyFont="1" applyFill="1" applyBorder="1" applyAlignment="1">
      <alignment horizontal="center"/>
    </xf>
    <xf numFmtId="178" fontId="76" fillId="7" borderId="9" xfId="1" applyNumberFormat="1" applyFont="1" applyFill="1" applyBorder="1" applyAlignment="1"/>
    <xf numFmtId="178" fontId="76" fillId="7" borderId="78" xfId="1" applyNumberFormat="1" applyFont="1" applyFill="1" applyBorder="1" applyAlignment="1"/>
    <xf numFmtId="178" fontId="76" fillId="7" borderId="83" xfId="1" applyNumberFormat="1" applyFont="1" applyFill="1" applyBorder="1" applyAlignment="1"/>
    <xf numFmtId="41" fontId="15" fillId="0" borderId="0" xfId="0" applyNumberFormat="1" applyFont="1" applyAlignment="1"/>
    <xf numFmtId="0" fontId="78" fillId="0" borderId="9" xfId="0" applyFont="1" applyBorder="1" applyAlignment="1"/>
    <xf numFmtId="0" fontId="78" fillId="2" borderId="9" xfId="0" applyFont="1" applyFill="1" applyBorder="1" applyAlignment="1">
      <alignment horizontal="center"/>
    </xf>
    <xf numFmtId="0" fontId="76" fillId="0" borderId="0" xfId="0" applyFont="1" applyAlignment="1">
      <alignment horizontal="center"/>
    </xf>
    <xf numFmtId="178" fontId="76" fillId="0" borderId="0" xfId="1" applyNumberFormat="1" applyFont="1" applyFill="1" applyBorder="1" applyAlignment="1"/>
    <xf numFmtId="0" fontId="76" fillId="0" borderId="86" xfId="0" applyFont="1" applyBorder="1" applyAlignment="1"/>
    <xf numFmtId="0" fontId="76" fillId="0" borderId="0" xfId="0" applyFont="1" applyAlignment="1"/>
    <xf numFmtId="0" fontId="76" fillId="0" borderId="9" xfId="0" applyFont="1" applyBorder="1" applyAlignment="1">
      <alignment horizontal="center"/>
    </xf>
    <xf numFmtId="14" fontId="76" fillId="0" borderId="9" xfId="0" applyNumberFormat="1" applyFont="1" applyBorder="1" applyAlignment="1">
      <alignment horizontal="center"/>
    </xf>
    <xf numFmtId="176" fontId="5" fillId="0" borderId="21" xfId="1" applyNumberFormat="1" applyFont="1" applyFill="1" applyBorder="1" applyAlignment="1">
      <alignment vertical="center"/>
    </xf>
    <xf numFmtId="176" fontId="5" fillId="0" borderId="36" xfId="1" applyNumberFormat="1" applyFont="1" applyFill="1" applyBorder="1" applyAlignment="1">
      <alignment vertical="center"/>
    </xf>
    <xf numFmtId="0" fontId="78" fillId="2" borderId="9" xfId="0" applyFont="1" applyFill="1" applyBorder="1" applyAlignment="1">
      <alignment horizontal="center" vertical="center"/>
    </xf>
    <xf numFmtId="0" fontId="78" fillId="2" borderId="11" xfId="0" applyFont="1" applyFill="1" applyBorder="1" applyAlignment="1">
      <alignment horizontal="center" vertical="center"/>
    </xf>
    <xf numFmtId="178" fontId="76" fillId="7" borderId="11" xfId="1" applyNumberFormat="1" applyFont="1" applyFill="1" applyBorder="1" applyAlignment="1"/>
    <xf numFmtId="178" fontId="76" fillId="7" borderId="86" xfId="1" applyNumberFormat="1" applyFont="1" applyFill="1" applyBorder="1" applyAlignment="1"/>
    <xf numFmtId="178" fontId="76" fillId="7" borderId="87" xfId="1" applyNumberFormat="1" applyFont="1" applyFill="1" applyBorder="1" applyAlignment="1"/>
    <xf numFmtId="0" fontId="78" fillId="2" borderId="64" xfId="0" applyFont="1" applyFill="1" applyBorder="1" applyAlignment="1">
      <alignment horizontal="center" vertical="center"/>
    </xf>
    <xf numFmtId="178" fontId="76" fillId="7" borderId="65" xfId="1" applyNumberFormat="1" applyFont="1" applyFill="1" applyBorder="1" applyAlignment="1"/>
    <xf numFmtId="0" fontId="79" fillId="0" borderId="9" xfId="0" applyFont="1" applyBorder="1" applyAlignment="1">
      <alignment vertical="center" shrinkToFit="1"/>
    </xf>
    <xf numFmtId="0" fontId="76" fillId="0" borderId="9" xfId="0" applyFont="1" applyBorder="1" applyAlignment="1">
      <alignment vertical="center" shrinkToFit="1"/>
    </xf>
    <xf numFmtId="0" fontId="76" fillId="2" borderId="9" xfId="0" applyFont="1" applyFill="1" applyBorder="1" applyAlignment="1">
      <alignment horizontal="center" vertical="center" shrinkToFit="1"/>
    </xf>
    <xf numFmtId="178" fontId="79" fillId="0" borderId="9" xfId="1" applyNumberFormat="1" applyFont="1" applyBorder="1" applyAlignment="1">
      <alignment vertical="center" shrinkToFit="1"/>
    </xf>
    <xf numFmtId="178" fontId="76" fillId="2" borderId="9" xfId="0" applyNumberFormat="1" applyFont="1" applyFill="1" applyBorder="1" applyAlignment="1"/>
    <xf numFmtId="176" fontId="5" fillId="0" borderId="12" xfId="1" applyNumberFormat="1" applyFont="1" applyFill="1" applyBorder="1" applyAlignment="1">
      <alignment vertical="center"/>
    </xf>
    <xf numFmtId="176" fontId="5" fillId="0" borderId="32" xfId="1" applyNumberFormat="1" applyFont="1" applyFill="1" applyBorder="1" applyAlignment="1">
      <alignment vertical="center"/>
    </xf>
    <xf numFmtId="41" fontId="15" fillId="5" borderId="9" xfId="1" applyFont="1" applyFill="1" applyBorder="1" applyAlignment="1">
      <alignment vertical="center" wrapText="1"/>
    </xf>
    <xf numFmtId="41" fontId="15" fillId="5" borderId="13" xfId="1" applyFont="1" applyFill="1" applyBorder="1" applyAlignment="1">
      <alignment vertical="center" wrapText="1"/>
    </xf>
    <xf numFmtId="41" fontId="15" fillId="4" borderId="13" xfId="1" applyFont="1" applyFill="1" applyBorder="1" applyAlignment="1">
      <alignment vertical="center"/>
    </xf>
    <xf numFmtId="0" fontId="78" fillId="0" borderId="0" xfId="0" applyFont="1" applyAlignment="1">
      <alignment horizontal="center"/>
    </xf>
    <xf numFmtId="176" fontId="5" fillId="3" borderId="10" xfId="1" applyNumberFormat="1" applyFont="1" applyFill="1" applyBorder="1" applyAlignment="1">
      <alignment vertical="center"/>
    </xf>
    <xf numFmtId="176" fontId="5" fillId="3" borderId="78" xfId="1" applyNumberFormat="1" applyFont="1" applyFill="1" applyBorder="1" applyAlignment="1">
      <alignment vertical="center"/>
    </xf>
    <xf numFmtId="176" fontId="5" fillId="0" borderId="78" xfId="1" applyNumberFormat="1" applyFont="1" applyBorder="1" applyAlignment="1" applyProtection="1">
      <alignment vertical="center"/>
      <protection hidden="1"/>
    </xf>
    <xf numFmtId="176" fontId="5" fillId="0" borderId="78" xfId="1" applyNumberFormat="1" applyFont="1" applyFill="1" applyBorder="1" applyAlignment="1" applyProtection="1">
      <alignment vertical="center"/>
      <protection hidden="1"/>
    </xf>
    <xf numFmtId="176" fontId="5" fillId="0" borderId="46" xfId="1" applyNumberFormat="1" applyFont="1" applyFill="1" applyBorder="1" applyAlignment="1">
      <alignment vertical="center"/>
    </xf>
    <xf numFmtId="176" fontId="5" fillId="0" borderId="48" xfId="1" applyNumberFormat="1" applyFont="1" applyFill="1" applyBorder="1" applyAlignment="1">
      <alignment vertical="center"/>
    </xf>
    <xf numFmtId="176" fontId="7" fillId="2" borderId="58" xfId="0" applyNumberFormat="1" applyFont="1" applyFill="1" applyBorder="1" applyAlignment="1" applyProtection="1">
      <alignment horizontal="center" vertical="center"/>
      <protection hidden="1"/>
    </xf>
    <xf numFmtId="176" fontId="7" fillId="2" borderId="5" xfId="0" quotePrefix="1" applyNumberFormat="1" applyFont="1" applyFill="1" applyBorder="1" applyAlignment="1" applyProtection="1">
      <alignment horizontal="center" vertical="center"/>
      <protection hidden="1"/>
    </xf>
    <xf numFmtId="176" fontId="5" fillId="3" borderId="0" xfId="1" applyNumberFormat="1" applyFont="1" applyFill="1" applyBorder="1" applyAlignment="1">
      <alignment vertical="center"/>
    </xf>
    <xf numFmtId="176" fontId="0" fillId="0" borderId="78" xfId="0" applyNumberFormat="1" applyBorder="1">
      <alignment vertical="center"/>
    </xf>
    <xf numFmtId="176" fontId="14" fillId="2" borderId="57" xfId="0" quotePrefix="1" applyNumberFormat="1" applyFont="1" applyFill="1" applyBorder="1" applyProtection="1">
      <alignment vertical="center"/>
      <protection hidden="1"/>
    </xf>
    <xf numFmtId="176" fontId="14" fillId="2" borderId="88" xfId="0" quotePrefix="1" applyNumberFormat="1" applyFont="1" applyFill="1" applyBorder="1" applyProtection="1">
      <alignment vertical="center"/>
      <protection hidden="1"/>
    </xf>
    <xf numFmtId="176" fontId="7" fillId="2" borderId="57" xfId="0" quotePrefix="1" applyNumberFormat="1" applyFont="1" applyFill="1" applyBorder="1" applyAlignment="1" applyProtection="1">
      <alignment horizontal="center" vertical="center"/>
      <protection hidden="1"/>
    </xf>
    <xf numFmtId="176" fontId="0" fillId="0" borderId="5" xfId="0" applyNumberFormat="1" applyBorder="1" applyProtection="1">
      <alignment vertical="center"/>
      <protection hidden="1"/>
    </xf>
    <xf numFmtId="176" fontId="0" fillId="0" borderId="4" xfId="0" applyNumberFormat="1" applyBorder="1" applyProtection="1">
      <alignment vertical="center"/>
      <protection hidden="1"/>
    </xf>
    <xf numFmtId="0" fontId="22" fillId="3" borderId="16" xfId="0" applyFont="1" applyFill="1" applyBorder="1" applyAlignment="1">
      <alignment horizontal="center" vertical="center" wrapText="1"/>
    </xf>
    <xf numFmtId="0" fontId="22" fillId="3" borderId="32" xfId="0" applyFont="1" applyFill="1" applyBorder="1" applyAlignment="1">
      <alignment vertical="center" wrapText="1"/>
    </xf>
    <xf numFmtId="0" fontId="22" fillId="3" borderId="9" xfId="0" applyFont="1" applyFill="1" applyBorder="1" applyAlignment="1">
      <alignment horizontal="left" vertical="center" wrapText="1"/>
    </xf>
    <xf numFmtId="0" fontId="22" fillId="3" borderId="0" xfId="0" applyFont="1" applyFill="1" applyAlignment="1">
      <alignment horizontal="center" vertical="center" wrapText="1"/>
    </xf>
    <xf numFmtId="0" fontId="0" fillId="3" borderId="0" xfId="0" applyFill="1">
      <alignment vertical="center"/>
    </xf>
    <xf numFmtId="0" fontId="22" fillId="3" borderId="78" xfId="0" applyFont="1" applyFill="1" applyBorder="1" applyAlignment="1">
      <alignment vertical="center" wrapText="1"/>
    </xf>
    <xf numFmtId="0" fontId="22" fillId="0" borderId="16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0" fontId="44" fillId="0" borderId="9" xfId="0" applyFont="1" applyBorder="1" applyAlignment="1">
      <alignment horizontal="left" vertical="center" wrapText="1"/>
    </xf>
    <xf numFmtId="0" fontId="69" fillId="0" borderId="9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left" vertical="center" wrapText="1"/>
    </xf>
    <xf numFmtId="0" fontId="22" fillId="0" borderId="24" xfId="0" applyFont="1" applyBorder="1" applyAlignment="1">
      <alignment horizontal="center" vertical="center" wrapText="1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 wrapText="1"/>
    </xf>
    <xf numFmtId="41" fontId="76" fillId="0" borderId="85" xfId="1" applyFont="1" applyBorder="1" applyAlignment="1"/>
    <xf numFmtId="178" fontId="76" fillId="0" borderId="60" xfId="0" applyNumberFormat="1" applyFont="1" applyBorder="1" applyAlignment="1"/>
    <xf numFmtId="10" fontId="76" fillId="0" borderId="83" xfId="5" applyNumberFormat="1" applyFont="1" applyBorder="1" applyAlignment="1"/>
    <xf numFmtId="0" fontId="76" fillId="3" borderId="83" xfId="0" applyFont="1" applyFill="1" applyBorder="1" applyAlignment="1">
      <alignment horizontal="center"/>
    </xf>
    <xf numFmtId="0" fontId="77" fillId="0" borderId="0" xfId="0" applyFont="1">
      <alignment vertical="center"/>
    </xf>
    <xf numFmtId="0" fontId="76" fillId="0" borderId="0" xfId="0" applyFont="1" applyAlignment="1">
      <alignment horizontal="center" vertical="center"/>
    </xf>
    <xf numFmtId="176" fontId="9" fillId="0" borderId="54" xfId="0" applyNumberFormat="1" applyFont="1" applyBorder="1" applyProtection="1">
      <alignment vertical="center"/>
      <protection hidden="1"/>
    </xf>
    <xf numFmtId="176" fontId="5" fillId="0" borderId="40" xfId="0" applyNumberFormat="1" applyFont="1" applyBorder="1">
      <alignment vertical="center"/>
    </xf>
    <xf numFmtId="176" fontId="7" fillId="2" borderId="30" xfId="0" applyNumberFormat="1" applyFont="1" applyFill="1" applyBorder="1" applyAlignment="1" applyProtection="1">
      <alignment horizontal="center" vertical="center"/>
      <protection hidden="1"/>
    </xf>
    <xf numFmtId="176" fontId="5" fillId="0" borderId="40" xfId="0" applyNumberFormat="1" applyFont="1" applyBorder="1" applyProtection="1">
      <alignment vertical="center"/>
      <protection hidden="1"/>
    </xf>
    <xf numFmtId="176" fontId="5" fillId="3" borderId="22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0" fillId="2" borderId="9" xfId="0" applyFill="1" applyBorder="1" applyAlignment="1">
      <alignment horizontal="center" vertical="center"/>
    </xf>
    <xf numFmtId="176" fontId="5" fillId="0" borderId="26" xfId="1" applyNumberFormat="1" applyFont="1" applyFill="1" applyBorder="1" applyAlignment="1">
      <alignment vertical="center"/>
    </xf>
    <xf numFmtId="176" fontId="5" fillId="0" borderId="9" xfId="1" applyNumberFormat="1" applyFont="1" applyFill="1" applyBorder="1" applyAlignment="1">
      <alignment vertical="center"/>
    </xf>
    <xf numFmtId="176" fontId="5" fillId="0" borderId="84" xfId="1" applyNumberFormat="1" applyFont="1" applyFill="1" applyBorder="1" applyAlignment="1">
      <alignment vertical="center"/>
    </xf>
    <xf numFmtId="176" fontId="5" fillId="0" borderId="79" xfId="1" applyNumberFormat="1" applyFont="1" applyFill="1" applyBorder="1" applyAlignment="1">
      <alignment vertical="center"/>
    </xf>
    <xf numFmtId="176" fontId="5" fillId="0" borderId="77" xfId="1" applyNumberFormat="1" applyFont="1" applyFill="1" applyBorder="1" applyAlignment="1">
      <alignment vertical="center"/>
    </xf>
    <xf numFmtId="176" fontId="5" fillId="3" borderId="40" xfId="0" applyNumberFormat="1" applyFont="1" applyFill="1" applyBorder="1">
      <alignment vertical="center"/>
    </xf>
    <xf numFmtId="176" fontId="5" fillId="2" borderId="40" xfId="0" applyNumberFormat="1" applyFont="1" applyFill="1" applyBorder="1">
      <alignment vertical="center"/>
    </xf>
    <xf numFmtId="176" fontId="5" fillId="2" borderId="13" xfId="0" applyNumberFormat="1" applyFont="1" applyFill="1" applyBorder="1">
      <alignment vertical="center"/>
    </xf>
    <xf numFmtId="176" fontId="5" fillId="2" borderId="12" xfId="0" applyNumberFormat="1" applyFont="1" applyFill="1" applyBorder="1">
      <alignment vertical="center"/>
    </xf>
    <xf numFmtId="176" fontId="5" fillId="2" borderId="11" xfId="0" applyNumberFormat="1" applyFont="1" applyFill="1" applyBorder="1">
      <alignment vertical="center"/>
    </xf>
    <xf numFmtId="176" fontId="5" fillId="2" borderId="25" xfId="0" applyNumberFormat="1" applyFont="1" applyFill="1" applyBorder="1">
      <alignment vertical="center"/>
    </xf>
    <xf numFmtId="176" fontId="5" fillId="2" borderId="33" xfId="0" applyNumberFormat="1" applyFont="1" applyFill="1" applyBorder="1">
      <alignment vertical="center"/>
    </xf>
    <xf numFmtId="176" fontId="5" fillId="2" borderId="35" xfId="0" applyNumberFormat="1" applyFont="1" applyFill="1" applyBorder="1">
      <alignment vertical="center"/>
    </xf>
    <xf numFmtId="176" fontId="5" fillId="2" borderId="34" xfId="0" applyNumberFormat="1" applyFont="1" applyFill="1" applyBorder="1">
      <alignment vertical="center"/>
    </xf>
    <xf numFmtId="176" fontId="5" fillId="2" borderId="73" xfId="0" applyNumberFormat="1" applyFont="1" applyFill="1" applyBorder="1">
      <alignment vertical="center"/>
    </xf>
    <xf numFmtId="10" fontId="81" fillId="0" borderId="38" xfId="5" applyNumberFormat="1" applyFont="1" applyBorder="1" applyAlignment="1" applyProtection="1">
      <alignment vertical="center"/>
      <protection hidden="1"/>
    </xf>
    <xf numFmtId="10" fontId="81" fillId="0" borderId="9" xfId="5" applyNumberFormat="1" applyFont="1" applyBorder="1" applyAlignment="1" applyProtection="1">
      <alignment vertical="center"/>
      <protection hidden="1"/>
    </xf>
    <xf numFmtId="10" fontId="81" fillId="0" borderId="48" xfId="5" applyNumberFormat="1" applyFont="1" applyBorder="1" applyAlignment="1" applyProtection="1">
      <alignment vertical="center"/>
      <protection hidden="1"/>
    </xf>
    <xf numFmtId="10" fontId="82" fillId="0" borderId="45" xfId="5" applyNumberFormat="1" applyFont="1" applyBorder="1" applyAlignment="1" applyProtection="1">
      <alignment vertical="center"/>
      <protection hidden="1"/>
    </xf>
    <xf numFmtId="10" fontId="81" fillId="0" borderId="79" xfId="5" applyNumberFormat="1" applyFont="1" applyBorder="1" applyAlignment="1" applyProtection="1">
      <alignment vertical="center"/>
      <protection hidden="1"/>
    </xf>
    <xf numFmtId="176" fontId="5" fillId="0" borderId="93" xfId="1" applyNumberFormat="1" applyFont="1" applyBorder="1" applyAlignment="1" applyProtection="1">
      <alignment vertical="center"/>
      <protection hidden="1"/>
    </xf>
    <xf numFmtId="176" fontId="15" fillId="0" borderId="94" xfId="0" applyNumberFormat="1" applyFont="1" applyBorder="1" applyAlignment="1">
      <alignment horizontal="center" vertical="center"/>
    </xf>
    <xf numFmtId="14" fontId="15" fillId="5" borderId="79" xfId="0" applyNumberFormat="1" applyFont="1" applyFill="1" applyBorder="1" applyAlignment="1">
      <alignment horizontal="center" vertical="center" wrapText="1"/>
    </xf>
    <xf numFmtId="0" fontId="15" fillId="5" borderId="79" xfId="0" applyFont="1" applyFill="1" applyBorder="1" applyAlignment="1">
      <alignment horizontal="center" vertical="center"/>
    </xf>
    <xf numFmtId="176" fontId="15" fillId="0" borderId="79" xfId="0" applyNumberFormat="1" applyFont="1" applyBorder="1" applyAlignment="1">
      <alignment horizontal="center" vertical="center"/>
    </xf>
    <xf numFmtId="41" fontId="15" fillId="0" borderId="39" xfId="1" applyFont="1" applyBorder="1" applyAlignment="1">
      <alignment horizontal="center" vertical="center"/>
    </xf>
    <xf numFmtId="41" fontId="15" fillId="0" borderId="85" xfId="1" applyFont="1" applyBorder="1" applyAlignment="1">
      <alignment horizontal="center" vertical="center"/>
    </xf>
    <xf numFmtId="41" fontId="75" fillId="2" borderId="42" xfId="1" applyFont="1" applyFill="1" applyBorder="1" applyAlignment="1">
      <alignment horizontal="right" vertical="center"/>
    </xf>
    <xf numFmtId="41" fontId="75" fillId="2" borderId="44" xfId="1" applyFont="1" applyFill="1" applyBorder="1" applyAlignment="1">
      <alignment horizontal="right" vertical="center"/>
    </xf>
    <xf numFmtId="0" fontId="76" fillId="0" borderId="0" xfId="0" applyFont="1" applyAlignment="1">
      <alignment horizontal="center" vertical="center" shrinkToFit="1"/>
    </xf>
    <xf numFmtId="178" fontId="76" fillId="0" borderId="0" xfId="0" applyNumberFormat="1" applyFont="1" applyAlignment="1"/>
    <xf numFmtId="41" fontId="15" fillId="5" borderId="79" xfId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41" fontId="0" fillId="0" borderId="0" xfId="1" applyFont="1">
      <alignment vertical="center"/>
    </xf>
    <xf numFmtId="41" fontId="0" fillId="0" borderId="9" xfId="1" applyFont="1" applyBorder="1">
      <alignment vertical="center"/>
    </xf>
    <xf numFmtId="178" fontId="0" fillId="0" borderId="9" xfId="1" applyNumberFormat="1" applyFont="1" applyBorder="1">
      <alignment vertical="center"/>
    </xf>
    <xf numFmtId="41" fontId="74" fillId="2" borderId="79" xfId="1" applyFont="1" applyFill="1" applyBorder="1" applyAlignment="1">
      <alignment horizontal="center" vertical="center"/>
    </xf>
    <xf numFmtId="41" fontId="74" fillId="2" borderId="32" xfId="1" applyFont="1" applyFill="1" applyBorder="1" applyAlignment="1">
      <alignment horizontal="center" vertical="center"/>
    </xf>
    <xf numFmtId="41" fontId="74" fillId="2" borderId="78" xfId="1" applyFont="1" applyFill="1" applyBorder="1" applyAlignment="1">
      <alignment horizontal="center" vertical="center"/>
    </xf>
    <xf numFmtId="0" fontId="83" fillId="0" borderId="0" xfId="0" applyFont="1" applyAlignment="1">
      <alignment horizontal="left" vertical="center"/>
    </xf>
    <xf numFmtId="0" fontId="85" fillId="0" borderId="0" xfId="0" applyFont="1" applyAlignment="1">
      <alignment horizontal="left" vertical="center"/>
    </xf>
    <xf numFmtId="0" fontId="0" fillId="0" borderId="0" xfId="0" applyAlignment="1"/>
    <xf numFmtId="0" fontId="74" fillId="2" borderId="14" xfId="0" applyFont="1" applyFill="1" applyBorder="1" applyAlignment="1">
      <alignment horizontal="center" vertical="center"/>
    </xf>
    <xf numFmtId="0" fontId="74" fillId="7" borderId="16" xfId="0" applyFont="1" applyFill="1" applyBorder="1" applyAlignment="1">
      <alignment horizontal="center" vertical="center"/>
    </xf>
    <xf numFmtId="0" fontId="0" fillId="0" borderId="29" xfId="0" applyBorder="1" applyAlignment="1">
      <alignment horizontal="left"/>
    </xf>
    <xf numFmtId="0" fontId="0" fillId="0" borderId="95" xfId="0" applyBorder="1" applyAlignment="1">
      <alignment horizontal="center"/>
    </xf>
    <xf numFmtId="0" fontId="0" fillId="0" borderId="69" xfId="0" applyBorder="1" applyAlignment="1">
      <alignment horizontal="center"/>
    </xf>
    <xf numFmtId="0" fontId="74" fillId="3" borderId="0" xfId="0" applyFont="1" applyFill="1" applyAlignment="1">
      <alignment horizontal="left" vertical="center"/>
    </xf>
    <xf numFmtId="14" fontId="88" fillId="5" borderId="79" xfId="0" applyNumberFormat="1" applyFont="1" applyFill="1" applyBorder="1" applyAlignment="1">
      <alignment horizontal="center" vertical="center" wrapText="1"/>
    </xf>
    <xf numFmtId="14" fontId="88" fillId="5" borderId="79" xfId="0" applyNumberFormat="1" applyFont="1" applyFill="1" applyBorder="1" applyAlignment="1">
      <alignment horizontal="left" vertical="center" wrapText="1"/>
    </xf>
    <xf numFmtId="0" fontId="88" fillId="5" borderId="79" xfId="0" applyFont="1" applyFill="1" applyBorder="1" applyAlignment="1">
      <alignment horizontal="center" vertical="center"/>
    </xf>
    <xf numFmtId="176" fontId="88" fillId="0" borderId="79" xfId="0" applyNumberFormat="1" applyFont="1" applyBorder="1" applyAlignment="1">
      <alignment horizontal="center" vertical="center"/>
    </xf>
    <xf numFmtId="41" fontId="88" fillId="0" borderId="39" xfId="1" applyFont="1" applyBorder="1" applyAlignment="1">
      <alignment horizontal="center" vertical="center"/>
    </xf>
    <xf numFmtId="41" fontId="88" fillId="0" borderId="85" xfId="1" applyFont="1" applyBorder="1" applyAlignment="1">
      <alignment horizontal="center" vertical="center"/>
    </xf>
    <xf numFmtId="14" fontId="88" fillId="5" borderId="9" xfId="0" applyNumberFormat="1" applyFont="1" applyFill="1" applyBorder="1" applyAlignment="1">
      <alignment horizontal="center" vertical="center" wrapText="1"/>
    </xf>
    <xf numFmtId="0" fontId="88" fillId="5" borderId="9" xfId="0" applyFont="1" applyFill="1" applyBorder="1" applyAlignment="1">
      <alignment horizontal="center" vertical="center"/>
    </xf>
    <xf numFmtId="0" fontId="88" fillId="5" borderId="13" xfId="0" applyFont="1" applyFill="1" applyBorder="1" applyAlignment="1">
      <alignment horizontal="center" vertical="center"/>
    </xf>
    <xf numFmtId="176" fontId="88" fillId="0" borderId="9" xfId="0" applyNumberFormat="1" applyFont="1" applyBorder="1" applyAlignment="1">
      <alignment horizontal="center" vertical="center"/>
    </xf>
    <xf numFmtId="41" fontId="88" fillId="0" borderId="11" xfId="1" applyFont="1" applyBorder="1" applyAlignment="1">
      <alignment horizontal="center" vertical="center"/>
    </xf>
    <xf numFmtId="41" fontId="88" fillId="0" borderId="17" xfId="1" applyFont="1" applyBorder="1" applyAlignment="1">
      <alignment horizontal="center" vertical="center"/>
    </xf>
    <xf numFmtId="14" fontId="88" fillId="5" borderId="13" xfId="0" applyNumberFormat="1" applyFont="1" applyFill="1" applyBorder="1" applyAlignment="1">
      <alignment horizontal="center" vertical="center" wrapText="1"/>
    </xf>
    <xf numFmtId="0" fontId="88" fillId="0" borderId="9" xfId="0" applyFont="1" applyBorder="1" applyAlignment="1">
      <alignment horizontal="center" vertical="center"/>
    </xf>
    <xf numFmtId="0" fontId="72" fillId="0" borderId="0" xfId="0" applyFont="1">
      <alignment vertical="center"/>
    </xf>
    <xf numFmtId="176" fontId="7" fillId="2" borderId="38" xfId="0" applyNumberFormat="1" applyFont="1" applyFill="1" applyBorder="1" applyAlignment="1" applyProtection="1">
      <alignment horizontal="center" vertical="center" wrapText="1"/>
      <protection hidden="1"/>
    </xf>
    <xf numFmtId="176" fontId="7" fillId="2" borderId="45" xfId="0" applyNumberFormat="1" applyFont="1" applyFill="1" applyBorder="1" applyAlignment="1" applyProtection="1">
      <alignment horizontal="center" vertical="center"/>
      <protection hidden="1"/>
    </xf>
    <xf numFmtId="176" fontId="7" fillId="2" borderId="36" xfId="0" applyNumberFormat="1" applyFont="1" applyFill="1" applyBorder="1" applyAlignment="1" applyProtection="1">
      <alignment horizontal="center" vertical="center" wrapText="1"/>
      <protection hidden="1"/>
    </xf>
    <xf numFmtId="176" fontId="7" fillId="2" borderId="42" xfId="0" applyNumberFormat="1" applyFont="1" applyFill="1" applyBorder="1" applyAlignment="1" applyProtection="1">
      <alignment horizontal="center" vertical="center" wrapText="1"/>
      <protection hidden="1"/>
    </xf>
    <xf numFmtId="176" fontId="5" fillId="3" borderId="12" xfId="0" applyNumberFormat="1" applyFont="1" applyFill="1" applyBorder="1">
      <alignment vertical="center"/>
    </xf>
    <xf numFmtId="176" fontId="5" fillId="3" borderId="13" xfId="0" applyNumberFormat="1" applyFont="1" applyFill="1" applyBorder="1">
      <alignment vertical="center"/>
    </xf>
    <xf numFmtId="176" fontId="14" fillId="2" borderId="61" xfId="0" applyNumberFormat="1" applyFont="1" applyFill="1" applyBorder="1" applyAlignment="1" applyProtection="1">
      <alignment horizontal="center" vertical="center"/>
      <protection hidden="1"/>
    </xf>
    <xf numFmtId="176" fontId="14" fillId="2" borderId="57" xfId="0" applyNumberFormat="1" applyFont="1" applyFill="1" applyBorder="1" applyAlignment="1" applyProtection="1">
      <alignment horizontal="center" vertical="center"/>
      <protection hidden="1"/>
    </xf>
    <xf numFmtId="176" fontId="14" fillId="2" borderId="58" xfId="0" applyNumberFormat="1" applyFont="1" applyFill="1" applyBorder="1" applyAlignment="1" applyProtection="1">
      <alignment horizontal="center" vertical="center"/>
      <protection hidden="1"/>
    </xf>
    <xf numFmtId="176" fontId="5" fillId="3" borderId="10" xfId="0" applyNumberFormat="1" applyFont="1" applyFill="1" applyBorder="1">
      <alignment vertical="center"/>
    </xf>
    <xf numFmtId="176" fontId="5" fillId="3" borderId="40" xfId="0" applyNumberFormat="1" applyFont="1" applyFill="1" applyBorder="1">
      <alignment vertical="center"/>
    </xf>
    <xf numFmtId="176" fontId="5" fillId="0" borderId="39" xfId="0" applyNumberFormat="1" applyFont="1" applyBorder="1">
      <alignment vertical="center"/>
    </xf>
    <xf numFmtId="176" fontId="5" fillId="0" borderId="40" xfId="0" applyNumberFormat="1" applyFont="1" applyBorder="1">
      <alignment vertical="center"/>
    </xf>
    <xf numFmtId="176" fontId="5" fillId="0" borderId="11" xfId="0" applyNumberFormat="1" applyFont="1" applyBorder="1">
      <alignment vertical="center"/>
    </xf>
    <xf numFmtId="176" fontId="5" fillId="0" borderId="13" xfId="0" applyNumberFormat="1" applyFont="1" applyBorder="1">
      <alignment vertical="center"/>
    </xf>
    <xf numFmtId="176" fontId="5" fillId="2" borderId="11" xfId="0" applyNumberFormat="1" applyFont="1" applyFill="1" applyBorder="1">
      <alignment vertical="center"/>
    </xf>
    <xf numFmtId="176" fontId="5" fillId="2" borderId="13" xfId="0" applyNumberFormat="1" applyFont="1" applyFill="1" applyBorder="1">
      <alignment vertical="center"/>
    </xf>
    <xf numFmtId="176" fontId="7" fillId="2" borderId="6" xfId="0" applyNumberFormat="1" applyFont="1" applyFill="1" applyBorder="1" applyAlignment="1" applyProtection="1">
      <alignment horizontal="center" vertical="center"/>
      <protection hidden="1"/>
    </xf>
    <xf numFmtId="176" fontId="14" fillId="2" borderId="56" xfId="0" quotePrefix="1" applyNumberFormat="1" applyFont="1" applyFill="1" applyBorder="1" applyAlignment="1" applyProtection="1">
      <alignment horizontal="center" vertical="center"/>
      <protection hidden="1"/>
    </xf>
    <xf numFmtId="176" fontId="14" fillId="2" borderId="57" xfId="0" quotePrefix="1" applyNumberFormat="1" applyFont="1" applyFill="1" applyBorder="1" applyAlignment="1" applyProtection="1">
      <alignment horizontal="center" vertical="center"/>
      <protection hidden="1"/>
    </xf>
    <xf numFmtId="176" fontId="14" fillId="2" borderId="62" xfId="0" quotePrefix="1" applyNumberFormat="1" applyFont="1" applyFill="1" applyBorder="1" applyAlignment="1" applyProtection="1">
      <alignment horizontal="center" vertical="center"/>
      <protection hidden="1"/>
    </xf>
    <xf numFmtId="176" fontId="5" fillId="2" borderId="12" xfId="0" applyNumberFormat="1" applyFont="1" applyFill="1" applyBorder="1">
      <alignment vertical="center"/>
    </xf>
    <xf numFmtId="176" fontId="9" fillId="0" borderId="70" xfId="0" applyNumberFormat="1" applyFont="1" applyBorder="1" applyProtection="1">
      <alignment vertical="center"/>
      <protection hidden="1"/>
    </xf>
    <xf numFmtId="176" fontId="9" fillId="0" borderId="54" xfId="0" applyNumberFormat="1" applyFont="1" applyBorder="1" applyProtection="1">
      <alignment vertical="center"/>
      <protection hidden="1"/>
    </xf>
    <xf numFmtId="176" fontId="16" fillId="2" borderId="31" xfId="0" applyNumberFormat="1" applyFont="1" applyFill="1" applyBorder="1" applyAlignment="1">
      <alignment horizontal="center" vertical="center"/>
    </xf>
    <xf numFmtId="176" fontId="16" fillId="2" borderId="71" xfId="0" applyNumberFormat="1" applyFont="1" applyFill="1" applyBorder="1" applyAlignment="1">
      <alignment horizontal="center" vertical="center"/>
    </xf>
    <xf numFmtId="176" fontId="16" fillId="2" borderId="63" xfId="0" applyNumberFormat="1" applyFont="1" applyFill="1" applyBorder="1" applyAlignment="1">
      <alignment horizontal="center" vertical="center"/>
    </xf>
    <xf numFmtId="176" fontId="16" fillId="2" borderId="72" xfId="0" applyNumberFormat="1" applyFont="1" applyFill="1" applyBorder="1" applyAlignment="1">
      <alignment horizontal="center" vertical="center"/>
    </xf>
    <xf numFmtId="176" fontId="7" fillId="2" borderId="28" xfId="0" applyNumberFormat="1" applyFont="1" applyFill="1" applyBorder="1" applyAlignment="1" applyProtection="1">
      <alignment horizontal="center" vertical="center"/>
      <protection hidden="1"/>
    </xf>
    <xf numFmtId="176" fontId="7" fillId="2" borderId="21" xfId="0" applyNumberFormat="1" applyFont="1" applyFill="1" applyBorder="1" applyAlignment="1" applyProtection="1">
      <alignment horizontal="center" vertical="center"/>
      <protection hidden="1"/>
    </xf>
    <xf numFmtId="176" fontId="7" fillId="2" borderId="22" xfId="0" applyNumberFormat="1" applyFont="1" applyFill="1" applyBorder="1" applyAlignment="1" applyProtection="1">
      <alignment horizontal="center" vertical="center"/>
      <protection hidden="1"/>
    </xf>
    <xf numFmtId="176" fontId="7" fillId="2" borderId="29" xfId="0" applyNumberFormat="1" applyFont="1" applyFill="1" applyBorder="1" applyAlignment="1" applyProtection="1">
      <alignment horizontal="center" vertical="center"/>
      <protection hidden="1"/>
    </xf>
    <xf numFmtId="176" fontId="7" fillId="2" borderId="30" xfId="0" applyNumberFormat="1" applyFont="1" applyFill="1" applyBorder="1" applyAlignment="1" applyProtection="1">
      <alignment horizontal="center" vertical="center"/>
      <protection hidden="1"/>
    </xf>
    <xf numFmtId="176" fontId="7" fillId="2" borderId="55" xfId="0" applyNumberFormat="1" applyFont="1" applyFill="1" applyBorder="1" applyAlignment="1" applyProtection="1">
      <alignment horizontal="center" vertical="center"/>
      <protection hidden="1"/>
    </xf>
    <xf numFmtId="176" fontId="2" fillId="0" borderId="0" xfId="0" applyNumberFormat="1" applyFont="1" applyAlignment="1" applyProtection="1">
      <alignment horizontal="left" vertical="center"/>
      <protection hidden="1"/>
    </xf>
    <xf numFmtId="176" fontId="3" fillId="0" borderId="2" xfId="0" applyNumberFormat="1" applyFont="1" applyBorder="1" applyAlignment="1" applyProtection="1">
      <alignment horizontal="center" vertical="center"/>
      <protection hidden="1"/>
    </xf>
    <xf numFmtId="176" fontId="7" fillId="2" borderId="37" xfId="0" applyNumberFormat="1" applyFont="1" applyFill="1" applyBorder="1" applyAlignment="1" applyProtection="1">
      <alignment horizontal="center" vertical="center" wrapText="1"/>
      <protection hidden="1"/>
    </xf>
    <xf numFmtId="176" fontId="7" fillId="2" borderId="2" xfId="0" applyNumberFormat="1" applyFont="1" applyFill="1" applyBorder="1" applyAlignment="1" applyProtection="1">
      <alignment horizontal="center" vertical="center" wrapText="1"/>
      <protection hidden="1"/>
    </xf>
    <xf numFmtId="176" fontId="7" fillId="2" borderId="69" xfId="0" applyNumberFormat="1" applyFont="1" applyFill="1" applyBorder="1" applyAlignment="1" applyProtection="1">
      <alignment horizontal="center" vertical="center"/>
      <protection hidden="1"/>
    </xf>
    <xf numFmtId="176" fontId="7" fillId="2" borderId="20" xfId="0" applyNumberFormat="1" applyFont="1" applyFill="1" applyBorder="1" applyAlignment="1" applyProtection="1">
      <alignment horizontal="center" vertical="center"/>
      <protection hidden="1"/>
    </xf>
    <xf numFmtId="176" fontId="7" fillId="2" borderId="27" xfId="0" applyNumberFormat="1" applyFont="1" applyFill="1" applyBorder="1" applyAlignment="1" applyProtection="1">
      <alignment horizontal="center" vertical="center"/>
      <protection hidden="1"/>
    </xf>
    <xf numFmtId="176" fontId="5" fillId="3" borderId="39" xfId="0" applyNumberFormat="1" applyFont="1" applyFill="1" applyBorder="1">
      <alignment vertical="center"/>
    </xf>
    <xf numFmtId="176" fontId="5" fillId="3" borderId="68" xfId="0" applyNumberFormat="1" applyFont="1" applyFill="1" applyBorder="1">
      <alignment vertical="center"/>
    </xf>
    <xf numFmtId="176" fontId="7" fillId="2" borderId="41" xfId="0" applyNumberFormat="1" applyFont="1" applyFill="1" applyBorder="1" applyAlignment="1" applyProtection="1">
      <alignment horizontal="center" vertical="center"/>
      <protection hidden="1"/>
    </xf>
    <xf numFmtId="176" fontId="7" fillId="2" borderId="43" xfId="0" applyNumberFormat="1" applyFont="1" applyFill="1" applyBorder="1" applyAlignment="1" applyProtection="1">
      <alignment horizontal="center" vertical="center"/>
      <protection hidden="1"/>
    </xf>
    <xf numFmtId="176" fontId="7" fillId="2" borderId="38" xfId="0" applyNumberFormat="1" applyFont="1" applyFill="1" applyBorder="1" applyAlignment="1" applyProtection="1">
      <alignment horizontal="center" vertical="center"/>
      <protection hidden="1"/>
    </xf>
    <xf numFmtId="176" fontId="14" fillId="2" borderId="6" xfId="0" applyNumberFormat="1" applyFont="1" applyFill="1" applyBorder="1" applyAlignment="1" applyProtection="1">
      <alignment horizontal="center" vertical="center"/>
      <protection hidden="1"/>
    </xf>
    <xf numFmtId="176" fontId="7" fillId="2" borderId="2" xfId="0" applyNumberFormat="1" applyFont="1" applyFill="1" applyBorder="1" applyAlignment="1" applyProtection="1">
      <alignment horizontal="center" vertical="center"/>
      <protection hidden="1"/>
    </xf>
    <xf numFmtId="176" fontId="7" fillId="2" borderId="7" xfId="0" applyNumberFormat="1" applyFont="1" applyFill="1" applyBorder="1" applyAlignment="1" applyProtection="1">
      <alignment horizontal="center" vertical="center"/>
      <protection hidden="1"/>
    </xf>
    <xf numFmtId="176" fontId="7" fillId="2" borderId="65" xfId="0" applyNumberFormat="1" applyFont="1" applyFill="1" applyBorder="1" applyAlignment="1" applyProtection="1">
      <alignment horizontal="center" vertical="center"/>
      <protection hidden="1"/>
    </xf>
    <xf numFmtId="176" fontId="5" fillId="3" borderId="47" xfId="0" applyNumberFormat="1" applyFont="1" applyFill="1" applyBorder="1">
      <alignment vertical="center"/>
    </xf>
    <xf numFmtId="176" fontId="5" fillId="3" borderId="49" xfId="0" applyNumberFormat="1" applyFont="1" applyFill="1" applyBorder="1">
      <alignment vertical="center"/>
    </xf>
    <xf numFmtId="176" fontId="9" fillId="0" borderId="52" xfId="0" applyNumberFormat="1" applyFont="1" applyBorder="1" applyProtection="1">
      <alignment vertical="center"/>
      <protection hidden="1"/>
    </xf>
    <xf numFmtId="176" fontId="5" fillId="3" borderId="51" xfId="0" applyNumberFormat="1" applyFont="1" applyFill="1" applyBorder="1">
      <alignment vertical="center"/>
    </xf>
    <xf numFmtId="176" fontId="9" fillId="0" borderId="53" xfId="0" applyNumberFormat="1" applyFont="1" applyBorder="1" applyProtection="1">
      <alignment vertical="center"/>
      <protection hidden="1"/>
    </xf>
    <xf numFmtId="176" fontId="7" fillId="2" borderId="37" xfId="0" applyNumberFormat="1" applyFont="1" applyFill="1" applyBorder="1" applyAlignment="1" applyProtection="1">
      <alignment horizontal="center" vertical="center"/>
      <protection hidden="1"/>
    </xf>
    <xf numFmtId="176" fontId="7" fillId="2" borderId="44" xfId="0" applyNumberFormat="1" applyFont="1" applyFill="1" applyBorder="1" applyAlignment="1" applyProtection="1">
      <alignment horizontal="center" vertical="center"/>
      <protection hidden="1"/>
    </xf>
    <xf numFmtId="176" fontId="7" fillId="2" borderId="46" xfId="0" applyNumberFormat="1" applyFont="1" applyFill="1" applyBorder="1" applyAlignment="1" applyProtection="1">
      <alignment horizontal="center" vertical="center"/>
      <protection hidden="1"/>
    </xf>
    <xf numFmtId="176" fontId="7" fillId="2" borderId="51" xfId="0" applyNumberFormat="1" applyFont="1" applyFill="1" applyBorder="1" applyAlignment="1" applyProtection="1">
      <alignment horizontal="center" vertical="center"/>
      <protection hidden="1"/>
    </xf>
    <xf numFmtId="176" fontId="5" fillId="3" borderId="59" xfId="0" applyNumberFormat="1" applyFont="1" applyFill="1" applyBorder="1">
      <alignment vertical="center"/>
    </xf>
    <xf numFmtId="176" fontId="7" fillId="2" borderId="36" xfId="0" applyNumberFormat="1" applyFont="1" applyFill="1" applyBorder="1" applyAlignment="1" applyProtection="1">
      <alignment horizontal="center" vertical="center"/>
      <protection hidden="1"/>
    </xf>
    <xf numFmtId="176" fontId="7" fillId="2" borderId="42" xfId="0" applyNumberFormat="1" applyFont="1" applyFill="1" applyBorder="1" applyAlignment="1" applyProtection="1">
      <alignment horizontal="center" vertical="center"/>
      <protection hidden="1"/>
    </xf>
    <xf numFmtId="176" fontId="7" fillId="2" borderId="6" xfId="0" quotePrefix="1" applyNumberFormat="1" applyFont="1" applyFill="1" applyBorder="1" applyAlignment="1" applyProtection="1">
      <alignment horizontal="center" vertical="center"/>
      <protection hidden="1"/>
    </xf>
    <xf numFmtId="176" fontId="7" fillId="2" borderId="8" xfId="0" quotePrefix="1" applyNumberFormat="1" applyFont="1" applyFill="1" applyBorder="1" applyAlignment="1" applyProtection="1">
      <alignment horizontal="center" vertical="center"/>
      <protection hidden="1"/>
    </xf>
    <xf numFmtId="176" fontId="7" fillId="2" borderId="56" xfId="0" applyNumberFormat="1" applyFont="1" applyFill="1" applyBorder="1" applyAlignment="1" applyProtection="1">
      <alignment horizontal="center" vertical="center"/>
      <protection hidden="1"/>
    </xf>
    <xf numFmtId="176" fontId="7" fillId="2" borderId="58" xfId="0" applyNumberFormat="1" applyFont="1" applyFill="1" applyBorder="1" applyAlignment="1" applyProtection="1">
      <alignment horizontal="center" vertical="center"/>
      <protection hidden="1"/>
    </xf>
    <xf numFmtId="176" fontId="7" fillId="2" borderId="3" xfId="0" applyNumberFormat="1" applyFont="1" applyFill="1" applyBorder="1" applyAlignment="1" applyProtection="1">
      <alignment horizontal="center" vertical="center"/>
      <protection hidden="1"/>
    </xf>
    <xf numFmtId="176" fontId="7" fillId="2" borderId="8" xfId="0" applyNumberFormat="1" applyFont="1" applyFill="1" applyBorder="1" applyAlignment="1" applyProtection="1">
      <alignment horizontal="center" vertical="center"/>
      <protection hidden="1"/>
    </xf>
    <xf numFmtId="176" fontId="5" fillId="2" borderId="39" xfId="0" applyNumberFormat="1" applyFont="1" applyFill="1" applyBorder="1">
      <alignment vertical="center"/>
    </xf>
    <xf numFmtId="176" fontId="5" fillId="2" borderId="68" xfId="0" applyNumberFormat="1" applyFont="1" applyFill="1" applyBorder="1">
      <alignment vertical="center"/>
    </xf>
    <xf numFmtId="176" fontId="5" fillId="2" borderId="25" xfId="0" applyNumberFormat="1" applyFont="1" applyFill="1" applyBorder="1">
      <alignment vertical="center"/>
    </xf>
    <xf numFmtId="176" fontId="5" fillId="2" borderId="10" xfId="0" applyNumberFormat="1" applyFont="1" applyFill="1" applyBorder="1">
      <alignment vertical="center"/>
    </xf>
    <xf numFmtId="176" fontId="5" fillId="2" borderId="40" xfId="0" applyNumberFormat="1" applyFont="1" applyFill="1" applyBorder="1">
      <alignment vertical="center"/>
    </xf>
    <xf numFmtId="176" fontId="5" fillId="0" borderId="9" xfId="0" applyNumberFormat="1" applyFont="1" applyBorder="1">
      <alignment vertical="center"/>
    </xf>
    <xf numFmtId="176" fontId="5" fillId="0" borderId="91" xfId="0" applyNumberFormat="1" applyFont="1" applyBorder="1">
      <alignment vertical="center"/>
    </xf>
    <xf numFmtId="176" fontId="5" fillId="0" borderId="92" xfId="0" applyNumberFormat="1" applyFont="1" applyBorder="1">
      <alignment vertical="center"/>
    </xf>
    <xf numFmtId="176" fontId="7" fillId="2" borderId="44" xfId="0" applyNumberFormat="1" applyFont="1" applyFill="1" applyBorder="1" applyAlignment="1" applyProtection="1">
      <alignment horizontal="center" vertical="center" wrapText="1"/>
      <protection hidden="1"/>
    </xf>
    <xf numFmtId="176" fontId="7" fillId="2" borderId="45" xfId="0" applyNumberFormat="1" applyFont="1" applyFill="1" applyBorder="1" applyAlignment="1" applyProtection="1">
      <alignment horizontal="center" vertical="center" wrapText="1"/>
      <protection hidden="1"/>
    </xf>
    <xf numFmtId="176" fontId="5" fillId="0" borderId="37" xfId="0" applyNumberFormat="1" applyFont="1" applyBorder="1">
      <alignment vertical="center"/>
    </xf>
    <xf numFmtId="176" fontId="5" fillId="0" borderId="38" xfId="0" applyNumberFormat="1" applyFont="1" applyBorder="1">
      <alignment vertical="center"/>
    </xf>
    <xf numFmtId="176" fontId="74" fillId="2" borderId="36" xfId="0" applyNumberFormat="1" applyFont="1" applyFill="1" applyBorder="1" applyAlignment="1">
      <alignment horizontal="center" vertical="center" wrapText="1"/>
    </xf>
    <xf numFmtId="176" fontId="74" fillId="2" borderId="42" xfId="0" applyNumberFormat="1" applyFont="1" applyFill="1" applyBorder="1" applyAlignment="1">
      <alignment horizontal="center" vertical="center" wrapText="1"/>
    </xf>
    <xf numFmtId="176" fontId="74" fillId="2" borderId="41" xfId="0" applyNumberFormat="1" applyFont="1" applyFill="1" applyBorder="1" applyAlignment="1">
      <alignment horizontal="center" vertical="center" wrapText="1"/>
    </xf>
    <xf numFmtId="176" fontId="74" fillId="2" borderId="43" xfId="0" applyNumberFormat="1" applyFont="1" applyFill="1" applyBorder="1" applyAlignment="1">
      <alignment horizontal="center" vertical="center" wrapText="1"/>
    </xf>
    <xf numFmtId="0" fontId="77" fillId="0" borderId="0" xfId="0" applyFont="1" applyAlignment="1">
      <alignment horizontal="left" vertical="center"/>
    </xf>
    <xf numFmtId="176" fontId="74" fillId="2" borderId="76" xfId="0" applyNumberFormat="1" applyFont="1" applyFill="1" applyBorder="1" applyAlignment="1">
      <alignment horizontal="center" vertical="center" wrapText="1"/>
    </xf>
    <xf numFmtId="176" fontId="74" fillId="2" borderId="82" xfId="0" applyNumberFormat="1" applyFont="1" applyFill="1" applyBorder="1" applyAlignment="1">
      <alignment horizontal="center" vertical="center" wrapText="1"/>
    </xf>
    <xf numFmtId="14" fontId="74" fillId="2" borderId="36" xfId="0" applyNumberFormat="1" applyFont="1" applyFill="1" applyBorder="1" applyAlignment="1">
      <alignment horizontal="center" vertical="center" wrapText="1"/>
    </xf>
    <xf numFmtId="14" fontId="74" fillId="2" borderId="42" xfId="0" applyNumberFormat="1" applyFont="1" applyFill="1" applyBorder="1" applyAlignment="1">
      <alignment horizontal="center" vertical="center" wrapText="1"/>
    </xf>
    <xf numFmtId="0" fontId="74" fillId="2" borderId="15" xfId="0" applyFont="1" applyFill="1" applyBorder="1" applyAlignment="1">
      <alignment horizontal="center" vertical="center"/>
    </xf>
    <xf numFmtId="0" fontId="74" fillId="2" borderId="23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86" fillId="0" borderId="0" xfId="0" applyFont="1" applyAlignment="1">
      <alignment horizontal="left" vertical="center"/>
    </xf>
    <xf numFmtId="41" fontId="74" fillId="2" borderId="9" xfId="1" applyFont="1" applyFill="1" applyBorder="1" applyAlignment="1">
      <alignment horizontal="center" vertical="center"/>
    </xf>
    <xf numFmtId="0" fontId="74" fillId="2" borderId="9" xfId="0" applyFont="1" applyFill="1" applyBorder="1" applyAlignment="1">
      <alignment horizontal="center" vertical="center"/>
    </xf>
    <xf numFmtId="176" fontId="74" fillId="2" borderId="23" xfId="0" applyNumberFormat="1" applyFont="1" applyFill="1" applyBorder="1" applyAlignment="1">
      <alignment horizontal="center" vertical="center" wrapText="1"/>
    </xf>
    <xf numFmtId="176" fontId="74" fillId="2" borderId="24" xfId="0" applyNumberFormat="1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5" fillId="5" borderId="39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5" fillId="5" borderId="40" xfId="0" applyFont="1" applyFill="1" applyBorder="1" applyAlignment="1">
      <alignment horizontal="center" vertical="center"/>
    </xf>
    <xf numFmtId="176" fontId="74" fillId="2" borderId="14" xfId="0" applyNumberFormat="1" applyFont="1" applyFill="1" applyBorder="1" applyAlignment="1">
      <alignment horizontal="center" vertical="center" wrapText="1"/>
    </xf>
    <xf numFmtId="176" fontId="74" fillId="2" borderId="18" xfId="0" applyNumberFormat="1" applyFont="1" applyFill="1" applyBorder="1" applyAlignment="1">
      <alignment horizontal="center" vertical="center" wrapText="1"/>
    </xf>
    <xf numFmtId="14" fontId="74" fillId="2" borderId="15" xfId="0" applyNumberFormat="1" applyFont="1" applyFill="1" applyBorder="1" applyAlignment="1">
      <alignment horizontal="center" vertical="center" wrapText="1"/>
    </xf>
    <xf numFmtId="14" fontId="74" fillId="2" borderId="19" xfId="0" applyNumberFormat="1" applyFont="1" applyFill="1" applyBorder="1" applyAlignment="1">
      <alignment horizontal="center" vertical="center" wrapText="1"/>
    </xf>
    <xf numFmtId="176" fontId="74" fillId="2" borderId="15" xfId="0" applyNumberFormat="1" applyFont="1" applyFill="1" applyBorder="1" applyAlignment="1">
      <alignment horizontal="center" vertical="center"/>
    </xf>
    <xf numFmtId="176" fontId="74" fillId="2" borderId="19" xfId="0" applyNumberFormat="1" applyFont="1" applyFill="1" applyBorder="1" applyAlignment="1">
      <alignment horizontal="center" vertical="center"/>
    </xf>
    <xf numFmtId="176" fontId="74" fillId="2" borderId="15" xfId="0" applyNumberFormat="1" applyFont="1" applyFill="1" applyBorder="1" applyAlignment="1">
      <alignment horizontal="center" vertical="center" wrapText="1"/>
    </xf>
    <xf numFmtId="176" fontId="74" fillId="2" borderId="19" xfId="0" applyNumberFormat="1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left" vertical="center"/>
    </xf>
    <xf numFmtId="0" fontId="15" fillId="5" borderId="12" xfId="0" applyFont="1" applyFill="1" applyBorder="1" applyAlignment="1">
      <alignment horizontal="left" vertical="center"/>
    </xf>
    <xf numFmtId="0" fontId="15" fillId="5" borderId="13" xfId="0" applyFont="1" applyFill="1" applyBorder="1" applyAlignment="1">
      <alignment horizontal="left" vertical="center"/>
    </xf>
    <xf numFmtId="0" fontId="15" fillId="5" borderId="39" xfId="0" applyFont="1" applyFill="1" applyBorder="1" applyAlignment="1">
      <alignment horizontal="left" vertical="center"/>
    </xf>
    <xf numFmtId="0" fontId="15" fillId="5" borderId="10" xfId="0" applyFont="1" applyFill="1" applyBorder="1" applyAlignment="1">
      <alignment horizontal="left" vertical="center"/>
    </xf>
    <xf numFmtId="0" fontId="15" fillId="5" borderId="40" xfId="0" applyFont="1" applyFill="1" applyBorder="1" applyAlignment="1">
      <alignment horizontal="left" vertical="center"/>
    </xf>
    <xf numFmtId="176" fontId="74" fillId="2" borderId="37" xfId="0" applyNumberFormat="1" applyFont="1" applyFill="1" applyBorder="1" applyAlignment="1">
      <alignment horizontal="center" vertical="center" wrapText="1"/>
    </xf>
    <xf numFmtId="176" fontId="74" fillId="2" borderId="2" xfId="0" applyNumberFormat="1" applyFont="1" applyFill="1" applyBorder="1" applyAlignment="1">
      <alignment horizontal="center" vertical="center" wrapText="1"/>
    </xf>
    <xf numFmtId="176" fontId="74" fillId="2" borderId="38" xfId="0" applyNumberFormat="1" applyFont="1" applyFill="1" applyBorder="1" applyAlignment="1">
      <alignment horizontal="center" vertical="center" wrapText="1"/>
    </xf>
    <xf numFmtId="176" fontId="74" fillId="2" borderId="44" xfId="0" applyNumberFormat="1" applyFont="1" applyFill="1" applyBorder="1" applyAlignment="1">
      <alignment horizontal="center" vertical="center" wrapText="1"/>
    </xf>
    <xf numFmtId="176" fontId="74" fillId="2" borderId="7" xfId="0" applyNumberFormat="1" applyFont="1" applyFill="1" applyBorder="1" applyAlignment="1">
      <alignment horizontal="center" vertical="center" wrapText="1"/>
    </xf>
    <xf numFmtId="176" fontId="74" fillId="2" borderId="45" xfId="0" applyNumberFormat="1" applyFont="1" applyFill="1" applyBorder="1" applyAlignment="1">
      <alignment horizontal="center" vertical="center" wrapText="1"/>
    </xf>
    <xf numFmtId="0" fontId="78" fillId="2" borderId="87" xfId="0" applyFont="1" applyFill="1" applyBorder="1" applyAlignment="1">
      <alignment horizontal="center"/>
    </xf>
    <xf numFmtId="0" fontId="78" fillId="2" borderId="89" xfId="0" applyFont="1" applyFill="1" applyBorder="1" applyAlignment="1">
      <alignment horizontal="center"/>
    </xf>
    <xf numFmtId="0" fontId="78" fillId="2" borderId="90" xfId="0" applyFont="1" applyFill="1" applyBorder="1" applyAlignment="1">
      <alignment horizontal="center"/>
    </xf>
    <xf numFmtId="0" fontId="76" fillId="2" borderId="84" xfId="0" applyFont="1" applyFill="1" applyBorder="1" applyAlignment="1">
      <alignment horizontal="center"/>
    </xf>
    <xf numFmtId="0" fontId="76" fillId="2" borderId="40" xfId="0" applyFont="1" applyFill="1" applyBorder="1" applyAlignment="1">
      <alignment horizontal="center"/>
    </xf>
    <xf numFmtId="0" fontId="76" fillId="2" borderId="77" xfId="0" applyFont="1" applyFill="1" applyBorder="1" applyAlignment="1">
      <alignment horizontal="center"/>
    </xf>
    <xf numFmtId="0" fontId="76" fillId="2" borderId="35" xfId="0" applyFont="1" applyFill="1" applyBorder="1" applyAlignment="1">
      <alignment horizontal="center"/>
    </xf>
    <xf numFmtId="0" fontId="76" fillId="2" borderId="1" xfId="0" applyFont="1" applyFill="1" applyBorder="1" applyAlignment="1">
      <alignment horizontal="center" vertical="center"/>
    </xf>
    <xf numFmtId="0" fontId="76" fillId="2" borderId="3" xfId="0" applyFont="1" applyFill="1" applyBorder="1" applyAlignment="1">
      <alignment horizontal="center" vertical="center"/>
    </xf>
    <xf numFmtId="0" fontId="76" fillId="2" borderId="6" xfId="0" applyFont="1" applyFill="1" applyBorder="1" applyAlignment="1">
      <alignment horizontal="center" vertical="center"/>
    </xf>
    <xf numFmtId="0" fontId="76" fillId="2" borderId="8" xfId="0" applyFont="1" applyFill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22" fillId="0" borderId="60" xfId="0" applyFont="1" applyBorder="1" applyAlignment="1">
      <alignment horizontal="center" vertical="center" wrapText="1"/>
    </xf>
    <xf numFmtId="0" fontId="22" fillId="0" borderId="93" xfId="0" applyFont="1" applyBorder="1" applyAlignment="1">
      <alignment horizontal="center" vertical="center" wrapText="1"/>
    </xf>
    <xf numFmtId="0" fontId="22" fillId="0" borderId="85" xfId="0" applyFont="1" applyBorder="1" applyAlignment="1">
      <alignment horizontal="center" vertical="center" wrapText="1"/>
    </xf>
    <xf numFmtId="0" fontId="21" fillId="0" borderId="60" xfId="0" applyFont="1" applyBorder="1" applyAlignment="1">
      <alignment horizontal="center" vertical="center" wrapText="1"/>
    </xf>
    <xf numFmtId="0" fontId="21" fillId="0" borderId="93" xfId="0" applyFont="1" applyBorder="1" applyAlignment="1">
      <alignment horizontal="center" vertical="center" wrapText="1"/>
    </xf>
    <xf numFmtId="0" fontId="21" fillId="0" borderId="85" xfId="0" applyFont="1" applyBorder="1" applyAlignment="1">
      <alignment horizontal="center" vertical="center" wrapText="1"/>
    </xf>
    <xf numFmtId="0" fontId="31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1" fillId="6" borderId="15" xfId="0" applyFont="1" applyFill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79" xfId="0" applyFont="1" applyBorder="1" applyAlignment="1">
      <alignment horizontal="center" vertical="center" wrapText="1"/>
    </xf>
    <xf numFmtId="0" fontId="61" fillId="0" borderId="32" xfId="0" applyFont="1" applyBorder="1" applyAlignment="1">
      <alignment horizontal="left" vertical="center" wrapText="1"/>
    </xf>
    <xf numFmtId="0" fontId="61" fillId="0" borderId="78" xfId="0" applyFont="1" applyBorder="1" applyAlignment="1">
      <alignment horizontal="left" vertical="center" wrapText="1"/>
    </xf>
    <xf numFmtId="0" fontId="61" fillId="0" borderId="79" xfId="0" applyFont="1" applyBorder="1" applyAlignment="1">
      <alignment horizontal="left" vertical="center" wrapText="1"/>
    </xf>
    <xf numFmtId="0" fontId="22" fillId="0" borderId="78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84" fillId="0" borderId="0" xfId="0" applyFont="1" applyAlignment="1">
      <alignment horizontal="left" vertical="center"/>
    </xf>
    <xf numFmtId="0" fontId="85" fillId="0" borderId="0" xfId="0" applyFont="1" applyAlignment="1">
      <alignment horizontal="left" vertical="center" wrapText="1"/>
    </xf>
    <xf numFmtId="0" fontId="85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2" fillId="3" borderId="32" xfId="0" applyFont="1" applyFill="1" applyBorder="1" applyAlignment="1">
      <alignment horizontal="left" vertical="center" wrapText="1"/>
    </xf>
    <xf numFmtId="0" fontId="22" fillId="3" borderId="78" xfId="0" applyFont="1" applyFill="1" applyBorder="1" applyAlignment="1">
      <alignment horizontal="left" vertical="center" wrapText="1"/>
    </xf>
    <xf numFmtId="0" fontId="22" fillId="3" borderId="79" xfId="0" applyFont="1" applyFill="1" applyBorder="1" applyAlignment="1">
      <alignment horizontal="left" vertical="center" wrapText="1"/>
    </xf>
    <xf numFmtId="0" fontId="22" fillId="0" borderId="80" xfId="0" applyFont="1" applyBorder="1" applyAlignment="1">
      <alignment horizontal="center" vertical="center" wrapText="1"/>
    </xf>
    <xf numFmtId="0" fontId="22" fillId="0" borderId="81" xfId="0" applyFont="1" applyBorder="1" applyAlignment="1">
      <alignment horizontal="center" vertical="center" wrapText="1"/>
    </xf>
    <xf numFmtId="0" fontId="22" fillId="0" borderId="82" xfId="0" applyFont="1" applyBorder="1" applyAlignment="1">
      <alignment horizontal="center" vertical="center" wrapText="1"/>
    </xf>
  </cellXfs>
  <cellStyles count="7">
    <cellStyle name="백분율" xfId="5" builtinId="5"/>
    <cellStyle name="백분율 2" xfId="4" xr:uid="{00000000-0005-0000-0000-000000000000}"/>
    <cellStyle name="쉼표 [0]" xfId="1" builtinId="6"/>
    <cellStyle name="쉼표 [0] 2" xfId="3" xr:uid="{00000000-0005-0000-0000-000002000000}"/>
    <cellStyle name="표준" xfId="0" builtinId="0"/>
    <cellStyle name="표준 2" xfId="2" xr:uid="{00000000-0005-0000-0000-000004000000}"/>
    <cellStyle name="표준 3" xfId="6" xr:uid="{289FBDAD-598A-4BE1-AEB7-51AFCFC11595}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AEAEA"/>
      <color rgb="FFF8F8F8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546100</xdr:colOff>
      <xdr:row>61</xdr:row>
      <xdr:rowOff>63500</xdr:rowOff>
    </xdr:from>
    <xdr:to>
      <xdr:col>11</xdr:col>
      <xdr:colOff>1244600</xdr:colOff>
      <xdr:row>67</xdr:row>
      <xdr:rowOff>393700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05A12D5A-2297-ADB5-2C6E-597EEBE9167E}"/>
            </a:ext>
          </a:extLst>
        </xdr:cNvPr>
        <xdr:cNvSpPr/>
      </xdr:nvSpPr>
      <xdr:spPr>
        <a:xfrm>
          <a:off x="8216900" y="23977600"/>
          <a:ext cx="8191500" cy="2997200"/>
        </a:xfrm>
        <a:prstGeom prst="round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600" b="1">
              <a:solidFill>
                <a:sysClr val="windowText" lastClr="000000"/>
              </a:solidFill>
              <a:latin typeface="+mn-ea"/>
              <a:ea typeface="+mn-ea"/>
            </a:rPr>
            <a:t>해당사항 없음</a:t>
          </a:r>
          <a:r>
            <a:rPr lang="en-US" altLang="ko-KR" sz="1100" b="1"/>
            <a:t>o</a:t>
          </a:r>
          <a:endParaRPr lang="ko-KR" altLang="en-US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1095374</xdr:colOff>
          <xdr:row>11</xdr:row>
          <xdr:rowOff>209550</xdr:rowOff>
        </xdr:from>
        <xdr:to>
          <xdr:col>4</xdr:col>
          <xdr:colOff>1390649</xdr:colOff>
          <xdr:row>16</xdr:row>
          <xdr:rowOff>22968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C31D240C-6396-0B2E-5D2D-D93F052D5CB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N$12:$P$16" spid="_x0000_s1033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895599" y="514350"/>
              <a:ext cx="2009775" cy="111834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2590800</xdr:colOff>
          <xdr:row>1</xdr:row>
          <xdr:rowOff>171450</xdr:rowOff>
        </xdr:from>
        <xdr:to>
          <xdr:col>7</xdr:col>
          <xdr:colOff>666750</xdr:colOff>
          <xdr:row>5</xdr:row>
          <xdr:rowOff>221282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CB9DD939-B106-8101-416B-99F6A98940D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M$2:$O$6" spid="_x0000_s316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34125" y="209550"/>
              <a:ext cx="2257425" cy="100233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0</xdr:row>
      <xdr:rowOff>0</xdr:rowOff>
    </xdr:from>
    <xdr:to>
      <xdr:col>18</xdr:col>
      <xdr:colOff>592161</xdr:colOff>
      <xdr:row>26</xdr:row>
      <xdr:rowOff>76971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12AC1B7-0E58-A5C1-BC63-7ACBBBA88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0"/>
          <a:ext cx="11545911" cy="552527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333;&#54984;\50-&#44592;&#48152;&#51312;&#49457;_\00-&#50672;&#44396;&#44592;&#48152;&#51312;&#49457;_2001-06-1&#48512;&#53552;\99_&#49324;&#50629;&#44288;&#47532;_2001-5-23&#44620;&#51648;\30-&#44592;&#45380;&#46020;-&#49324;&#50629;&#44288;&#47532;&#51088;&#47308;\&#50980;&#49437;&#54872;\&#50672;&#44396;&#44592;&#48152;&#49324;&#50629;\98&#45380;&#46020;\98%20&#44284;&#51228;&#47785;&#47197;(&#44288;&#47532;&#45824;&#49345;&#44284;&#51228;-&#51333;&#54984;&#51089;&#50629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현황"/>
      <sheetName val="기본"/>
      <sheetName val="최종평가대상(99.3)"/>
      <sheetName val="최종평가대상(99.3)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7E0DD-5183-4FFE-9366-FCAA649F3884}">
  <sheetPr>
    <tabColor rgb="FFFFFF00"/>
  </sheetPr>
  <dimension ref="B2:M15"/>
  <sheetViews>
    <sheetView showGridLines="0" workbookViewId="0">
      <selection activeCell="K7" sqref="K7"/>
    </sheetView>
  </sheetViews>
  <sheetFormatPr defaultRowHeight="16.5"/>
  <cols>
    <col min="2" max="2" width="22.75" bestFit="1" customWidth="1"/>
    <col min="4" max="4" width="22.375" customWidth="1"/>
    <col min="6" max="6" width="34.75" customWidth="1"/>
    <col min="8" max="8" width="23.375" customWidth="1"/>
    <col min="11" max="11" width="42.125" customWidth="1"/>
    <col min="13" max="13" width="13" customWidth="1"/>
  </cols>
  <sheetData>
    <row r="2" spans="2:13">
      <c r="B2" s="109" t="s">
        <v>206</v>
      </c>
      <c r="D2" s="109" t="s">
        <v>78</v>
      </c>
      <c r="F2" s="109" t="s">
        <v>79</v>
      </c>
      <c r="H2" s="109" t="s">
        <v>25</v>
      </c>
      <c r="K2" s="214" t="s">
        <v>274</v>
      </c>
      <c r="M2" s="109" t="s">
        <v>27</v>
      </c>
    </row>
    <row r="3" spans="2:13">
      <c r="B3" s="108" t="s">
        <v>202</v>
      </c>
      <c r="D3" s="108" t="s">
        <v>208</v>
      </c>
      <c r="F3" s="108" t="s">
        <v>210</v>
      </c>
      <c r="H3" s="108" t="s">
        <v>240</v>
      </c>
      <c r="K3" s="108" t="s">
        <v>267</v>
      </c>
      <c r="M3" s="108" t="s">
        <v>340</v>
      </c>
    </row>
    <row r="4" spans="2:13">
      <c r="B4" s="108" t="s">
        <v>203</v>
      </c>
      <c r="D4" s="108" t="s">
        <v>209</v>
      </c>
      <c r="F4" s="108" t="s">
        <v>211</v>
      </c>
      <c r="H4" s="108" t="s">
        <v>241</v>
      </c>
      <c r="K4" s="108" t="s">
        <v>268</v>
      </c>
      <c r="M4" s="108" t="s">
        <v>341</v>
      </c>
    </row>
    <row r="5" spans="2:13">
      <c r="B5" s="108" t="s">
        <v>204</v>
      </c>
      <c r="D5" s="108" t="s">
        <v>71</v>
      </c>
      <c r="F5" s="108" t="s">
        <v>212</v>
      </c>
      <c r="H5" s="108" t="s">
        <v>53</v>
      </c>
      <c r="K5" s="108" t="s">
        <v>269</v>
      </c>
    </row>
    <row r="6" spans="2:13">
      <c r="B6" s="108" t="s">
        <v>205</v>
      </c>
      <c r="D6" s="108"/>
      <c r="F6" s="108" t="s">
        <v>213</v>
      </c>
      <c r="H6" s="108" t="s">
        <v>47</v>
      </c>
      <c r="K6" s="108" t="s">
        <v>343</v>
      </c>
    </row>
    <row r="7" spans="2:13">
      <c r="B7" s="108" t="s">
        <v>87</v>
      </c>
      <c r="D7" s="108"/>
      <c r="F7" s="108" t="s">
        <v>214</v>
      </c>
      <c r="K7" s="108" t="s">
        <v>270</v>
      </c>
    </row>
    <row r="8" spans="2:13">
      <c r="B8" s="108" t="s">
        <v>71</v>
      </c>
      <c r="D8" s="108"/>
      <c r="F8" s="108" t="s">
        <v>215</v>
      </c>
      <c r="K8" s="108" t="s">
        <v>271</v>
      </c>
    </row>
    <row r="9" spans="2:13">
      <c r="B9" s="108"/>
      <c r="D9" s="108"/>
      <c r="F9" s="108" t="s">
        <v>216</v>
      </c>
      <c r="K9" s="108" t="s">
        <v>272</v>
      </c>
    </row>
    <row r="10" spans="2:13">
      <c r="F10" s="108" t="s">
        <v>217</v>
      </c>
      <c r="K10" s="108" t="s">
        <v>273</v>
      </c>
    </row>
    <row r="11" spans="2:13">
      <c r="F11" s="108" t="s">
        <v>71</v>
      </c>
      <c r="K11" s="108" t="s">
        <v>275</v>
      </c>
    </row>
    <row r="12" spans="2:13">
      <c r="F12" s="108"/>
      <c r="K12" s="108" t="s">
        <v>276</v>
      </c>
    </row>
    <row r="13" spans="2:13">
      <c r="F13" s="108"/>
    </row>
    <row r="14" spans="2:13">
      <c r="F14" s="108"/>
    </row>
    <row r="15" spans="2:13">
      <c r="F15" s="108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  <pageSetUpPr fitToPage="1"/>
  </sheetPr>
  <dimension ref="A1:T114"/>
  <sheetViews>
    <sheetView showGridLines="0" tabSelected="1" topLeftCell="D1" zoomScale="90" zoomScaleNormal="90" zoomScaleSheetLayoutView="85" workbookViewId="0">
      <selection activeCell="F16" sqref="F16"/>
    </sheetView>
  </sheetViews>
  <sheetFormatPr defaultColWidth="9" defaultRowHeight="16.5" outlineLevelRow="1"/>
  <cols>
    <col min="1" max="1" width="9" style="11"/>
    <col min="2" max="2" width="1" style="11" customWidth="1"/>
    <col min="3" max="3" width="20.625" style="11" customWidth="1"/>
    <col min="4" max="4" width="30.625" style="11" customWidth="1"/>
    <col min="5" max="14" width="19.625" style="11" customWidth="1"/>
    <col min="15" max="15" width="1.125" style="11" customWidth="1"/>
    <col min="16" max="16" width="12.625" style="11" customWidth="1"/>
    <col min="17" max="17" width="9" style="11" hidden="1" customWidth="1"/>
    <col min="18" max="19" width="16.375" style="11" customWidth="1"/>
    <col min="20" max="20" width="15.875" style="11" bestFit="1" customWidth="1"/>
    <col min="21" max="21" width="12.75" style="11" bestFit="1" customWidth="1"/>
    <col min="22" max="16384" width="9" style="11"/>
  </cols>
  <sheetData>
    <row r="1" spans="2:20" ht="17.25" thickBot="1"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</row>
    <row r="2" spans="2:20" ht="29.25" customHeight="1">
      <c r="B2" s="23"/>
      <c r="C2" s="313" t="s">
        <v>0</v>
      </c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  <c r="O2" s="24"/>
    </row>
    <row r="3" spans="2:20" s="3" customFormat="1" ht="14.25">
      <c r="B3" s="4"/>
      <c r="C3" s="2" t="s">
        <v>20</v>
      </c>
      <c r="D3" s="2" t="s">
        <v>80</v>
      </c>
      <c r="O3" s="5"/>
    </row>
    <row r="4" spans="2:20" s="3" customFormat="1" ht="13.5">
      <c r="B4" s="4"/>
      <c r="C4" s="3" t="s">
        <v>1</v>
      </c>
      <c r="F4" s="21"/>
      <c r="O4" s="5"/>
    </row>
    <row r="5" spans="2:20" s="3" customFormat="1" ht="14.25" thickBot="1">
      <c r="B5" s="4"/>
      <c r="N5" s="14"/>
      <c r="O5" s="5"/>
    </row>
    <row r="6" spans="2:20" s="3" customFormat="1" ht="34.5" customHeight="1">
      <c r="B6" s="4"/>
      <c r="C6" s="302" t="s">
        <v>67</v>
      </c>
      <c r="D6" s="303"/>
      <c r="E6" s="314" t="s">
        <v>50</v>
      </c>
      <c r="F6" s="315"/>
      <c r="G6" s="315"/>
      <c r="H6" s="278"/>
      <c r="I6" s="280" t="s">
        <v>283</v>
      </c>
      <c r="J6" s="280" t="s">
        <v>75</v>
      </c>
      <c r="K6" s="280" t="s">
        <v>52</v>
      </c>
      <c r="L6" s="278" t="s">
        <v>74</v>
      </c>
      <c r="M6" s="280" t="s">
        <v>16</v>
      </c>
      <c r="N6" s="321" t="s">
        <v>14</v>
      </c>
      <c r="O6" s="5"/>
      <c r="Q6" s="22" t="s">
        <v>19</v>
      </c>
    </row>
    <row r="7" spans="2:20" s="3" customFormat="1" ht="34.5" customHeight="1" thickBot="1">
      <c r="B7" s="4"/>
      <c r="C7" s="304"/>
      <c r="D7" s="305"/>
      <c r="E7" s="81" t="s">
        <v>28</v>
      </c>
      <c r="F7" s="81" t="s">
        <v>29</v>
      </c>
      <c r="G7" s="81" t="s">
        <v>35</v>
      </c>
      <c r="H7" s="81" t="s">
        <v>15</v>
      </c>
      <c r="I7" s="281"/>
      <c r="J7" s="281"/>
      <c r="K7" s="281"/>
      <c r="L7" s="279"/>
      <c r="M7" s="281"/>
      <c r="N7" s="322"/>
      <c r="O7" s="5"/>
      <c r="Q7" s="19" t="s">
        <v>37</v>
      </c>
    </row>
    <row r="8" spans="2:20" s="19" customFormat="1" ht="34.5" customHeight="1" thickBot="1">
      <c r="B8" s="25"/>
      <c r="C8" s="284" t="s">
        <v>33</v>
      </c>
      <c r="D8" s="44" t="s">
        <v>278</v>
      </c>
      <c r="E8" s="34">
        <v>1000000</v>
      </c>
      <c r="F8" s="35">
        <v>900000</v>
      </c>
      <c r="G8" s="36">
        <f>IF(F8="",E8,F8)</f>
        <v>900000</v>
      </c>
      <c r="H8" s="36"/>
      <c r="I8" s="37">
        <f>+'직접비-역량강화지원금'!J7</f>
        <v>1550000</v>
      </c>
      <c r="J8" s="37">
        <f>G8-I8</f>
        <v>-650000</v>
      </c>
      <c r="K8" s="37">
        <f>+I82</f>
        <v>0</v>
      </c>
      <c r="L8" s="37">
        <f>J8-K8</f>
        <v>-650000</v>
      </c>
      <c r="M8" s="230">
        <f>IF(G8=0,0,I8/G8)</f>
        <v>1.7222222222222223</v>
      </c>
      <c r="N8" s="38"/>
      <c r="O8" s="26"/>
      <c r="Q8" s="19" t="s">
        <v>17</v>
      </c>
    </row>
    <row r="9" spans="2:20" s="3" customFormat="1" ht="34.5" hidden="1" customHeight="1" outlineLevel="1">
      <c r="B9" s="4"/>
      <c r="C9" s="285"/>
      <c r="D9" s="45"/>
      <c r="E9" s="215"/>
      <c r="F9" s="216"/>
      <c r="G9" s="15">
        <f>IF(F9="",E9,F9)</f>
        <v>0</v>
      </c>
      <c r="H9" s="15"/>
      <c r="I9" s="20"/>
      <c r="J9" s="20">
        <f t="shared" ref="J9:J13" si="0">G9-I9</f>
        <v>0</v>
      </c>
      <c r="K9" s="20">
        <f t="shared" ref="K9:K13" si="1">+I83</f>
        <v>0</v>
      </c>
      <c r="L9" s="20">
        <f t="shared" ref="L9:L24" si="2">J9-K9</f>
        <v>0</v>
      </c>
      <c r="M9" s="231">
        <f t="shared" ref="M9:M13" si="3">IF(G9=0,0,I9/G9)</f>
        <v>0</v>
      </c>
      <c r="N9" s="16"/>
      <c r="O9" s="5"/>
      <c r="Q9" s="19" t="s">
        <v>18</v>
      </c>
    </row>
    <row r="10" spans="2:20" s="3" customFormat="1" ht="34.5" hidden="1" customHeight="1" outlineLevel="1">
      <c r="B10" s="4"/>
      <c r="C10" s="285"/>
      <c r="D10" s="45"/>
      <c r="E10" s="215"/>
      <c r="F10" s="216"/>
      <c r="G10" s="15">
        <f>IF(F10="",E10,F10)</f>
        <v>0</v>
      </c>
      <c r="H10" s="15"/>
      <c r="I10" s="20"/>
      <c r="J10" s="20">
        <f t="shared" si="0"/>
        <v>0</v>
      </c>
      <c r="K10" s="20">
        <f t="shared" si="1"/>
        <v>0</v>
      </c>
      <c r="L10" s="20">
        <f t="shared" si="2"/>
        <v>0</v>
      </c>
      <c r="M10" s="231">
        <f t="shared" si="3"/>
        <v>0</v>
      </c>
      <c r="N10" s="16"/>
      <c r="O10" s="5"/>
    </row>
    <row r="11" spans="2:20" s="3" customFormat="1" ht="34.5" hidden="1" customHeight="1" outlineLevel="1">
      <c r="B11" s="4"/>
      <c r="C11" s="285"/>
      <c r="D11" s="110"/>
      <c r="E11" s="217"/>
      <c r="F11" s="218"/>
      <c r="G11" s="111">
        <f>IF(F11="",E11,F11)</f>
        <v>0</v>
      </c>
      <c r="H11" s="111"/>
      <c r="I11" s="112"/>
      <c r="J11" s="112">
        <f t="shared" si="0"/>
        <v>0</v>
      </c>
      <c r="K11" s="112">
        <f t="shared" si="1"/>
        <v>0</v>
      </c>
      <c r="L11" s="112">
        <f t="shared" si="2"/>
        <v>0</v>
      </c>
      <c r="M11" s="231">
        <f t="shared" si="3"/>
        <v>0</v>
      </c>
      <c r="N11" s="113"/>
      <c r="O11" s="5"/>
    </row>
    <row r="12" spans="2:20" s="3" customFormat="1" ht="34.5" hidden="1" customHeight="1" outlineLevel="1">
      <c r="B12" s="4"/>
      <c r="C12" s="285"/>
      <c r="D12" s="48"/>
      <c r="E12" s="219"/>
      <c r="F12" s="159"/>
      <c r="G12" s="17"/>
      <c r="H12" s="17"/>
      <c r="I12" s="18"/>
      <c r="J12" s="18">
        <f t="shared" si="0"/>
        <v>0</v>
      </c>
      <c r="K12" s="18">
        <f t="shared" si="1"/>
        <v>0</v>
      </c>
      <c r="L12" s="20">
        <f t="shared" ref="L12" si="4">J12-K12</f>
        <v>0</v>
      </c>
      <c r="M12" s="231">
        <f t="shared" si="3"/>
        <v>0</v>
      </c>
      <c r="N12" s="87"/>
      <c r="O12" s="5"/>
    </row>
    <row r="13" spans="2:20" s="3" customFormat="1" ht="34.5" hidden="1" customHeight="1" outlineLevel="1" thickBot="1">
      <c r="B13" s="4"/>
      <c r="C13" s="285"/>
      <c r="D13" s="50"/>
      <c r="E13" s="168"/>
      <c r="F13" s="169"/>
      <c r="G13" s="29">
        <f>IF(F13="",E13,F13)</f>
        <v>0</v>
      </c>
      <c r="H13" s="29"/>
      <c r="I13" s="30"/>
      <c r="J13" s="30">
        <f t="shared" si="0"/>
        <v>0</v>
      </c>
      <c r="K13" s="30">
        <f t="shared" si="1"/>
        <v>0</v>
      </c>
      <c r="L13" s="30">
        <f t="shared" si="2"/>
        <v>0</v>
      </c>
      <c r="M13" s="232">
        <f t="shared" si="3"/>
        <v>0</v>
      </c>
      <c r="N13" s="31"/>
      <c r="O13" s="5"/>
    </row>
    <row r="14" spans="2:20" s="3" customFormat="1" ht="34.5" hidden="1" customHeight="1" outlineLevel="1" thickTop="1" thickBot="1">
      <c r="B14" s="4"/>
      <c r="C14" s="324"/>
      <c r="D14" s="114" t="s">
        <v>36</v>
      </c>
      <c r="E14" s="39">
        <f>SUM(E8:E13)</f>
        <v>1000000</v>
      </c>
      <c r="F14" s="40">
        <f>SUM(F8:F13)</f>
        <v>900000</v>
      </c>
      <c r="G14" s="40">
        <f>SUM(G8:G13)</f>
        <v>900000</v>
      </c>
      <c r="H14" s="41"/>
      <c r="I14" s="42">
        <f>SUM(I8:I13)</f>
        <v>1550000</v>
      </c>
      <c r="J14" s="42">
        <f>G14-I14</f>
        <v>-650000</v>
      </c>
      <c r="K14" s="42">
        <f>SUM(K8:K13)</f>
        <v>0</v>
      </c>
      <c r="L14" s="55">
        <f t="shared" si="2"/>
        <v>-650000</v>
      </c>
      <c r="M14" s="233">
        <f>IF(G14=0,0,I14/G14)</f>
        <v>1.7222222222222223</v>
      </c>
      <c r="N14" s="43"/>
      <c r="O14" s="5"/>
      <c r="R14" s="63" t="s">
        <v>55</v>
      </c>
      <c r="S14" s="64" t="s">
        <v>54</v>
      </c>
      <c r="T14" s="65" t="s">
        <v>56</v>
      </c>
    </row>
    <row r="15" spans="2:20" s="19" customFormat="1" ht="34.5" customHeight="1" collapsed="1">
      <c r="B15" s="25"/>
      <c r="C15" s="284" t="s">
        <v>34</v>
      </c>
      <c r="D15" s="44" t="s">
        <v>64</v>
      </c>
      <c r="E15" s="144">
        <f>+E33</f>
        <v>50000000</v>
      </c>
      <c r="F15" s="145">
        <f>+F33</f>
        <v>45000000</v>
      </c>
      <c r="G15" s="36">
        <f t="shared" ref="G15:G16" si="5">IF(F15="",E15,F15)</f>
        <v>45000000</v>
      </c>
      <c r="H15" s="36"/>
      <c r="I15" s="53">
        <f>+I33</f>
        <v>43050000</v>
      </c>
      <c r="J15" s="53">
        <f>G15-I15</f>
        <v>1950000</v>
      </c>
      <c r="K15" s="53">
        <f>+I88</f>
        <v>0</v>
      </c>
      <c r="L15" s="37">
        <f t="shared" si="2"/>
        <v>1950000</v>
      </c>
      <c r="M15" s="230">
        <f>IF(G15=0,0,I15/G15)</f>
        <v>0.95666666666666667</v>
      </c>
      <c r="N15" s="38"/>
      <c r="O15" s="26"/>
      <c r="R15" s="66" t="s">
        <v>33</v>
      </c>
      <c r="S15" s="62"/>
      <c r="T15" s="67">
        <f>IF(S15-L14=0,"TRUE",S15-L14)</f>
        <v>650000</v>
      </c>
    </row>
    <row r="16" spans="2:20" s="3" customFormat="1" ht="34.5" customHeight="1" thickBot="1">
      <c r="B16" s="4"/>
      <c r="C16" s="285"/>
      <c r="D16" s="46" t="s">
        <v>25</v>
      </c>
      <c r="E16" s="158">
        <f>+E34+E35+E36+E37</f>
        <v>5600000</v>
      </c>
      <c r="F16" s="159">
        <f>+F34+F35+F36+F37</f>
        <v>3000000</v>
      </c>
      <c r="G16" s="15">
        <f t="shared" si="5"/>
        <v>3000000</v>
      </c>
      <c r="H16" s="17"/>
      <c r="I16" s="18">
        <f>+I34+I35+I36+I37</f>
        <v>401456</v>
      </c>
      <c r="J16" s="18">
        <f t="shared" ref="J16:J23" si="6">G16-I16</f>
        <v>2598544</v>
      </c>
      <c r="K16" s="18">
        <f t="shared" ref="K16:K23" si="7">+I89</f>
        <v>0</v>
      </c>
      <c r="L16" s="20">
        <f t="shared" si="2"/>
        <v>2598544</v>
      </c>
      <c r="M16" s="231">
        <f t="shared" ref="M16:M23" si="8">IF(G16=0,0,I16/G16)</f>
        <v>0.13381866666666667</v>
      </c>
      <c r="N16" s="93"/>
      <c r="O16" s="5"/>
      <c r="R16" s="68" t="s">
        <v>34</v>
      </c>
      <c r="S16" s="69"/>
      <c r="T16" s="70">
        <f>IF(S16-L24=0,"TRUE",S16-L24)</f>
        <v>-8957434</v>
      </c>
    </row>
    <row r="17" spans="1:16" s="3" customFormat="1" ht="34.5" customHeight="1">
      <c r="B17" s="4"/>
      <c r="C17" s="285"/>
      <c r="D17" s="47" t="s">
        <v>26</v>
      </c>
      <c r="E17" s="158">
        <f t="shared" ref="E17:F20" si="9">+E38</f>
        <v>500000</v>
      </c>
      <c r="F17" s="159">
        <f t="shared" si="9"/>
        <v>400000</v>
      </c>
      <c r="G17" s="15">
        <f t="shared" ref="G17:G23" si="10">IF(F17="",E17,F17)</f>
        <v>400000</v>
      </c>
      <c r="H17" s="17"/>
      <c r="I17" s="18">
        <f t="shared" ref="I17:I20" si="11">+I38</f>
        <v>61110</v>
      </c>
      <c r="J17" s="18">
        <f t="shared" si="6"/>
        <v>338890</v>
      </c>
      <c r="K17" s="18">
        <f t="shared" si="7"/>
        <v>0</v>
      </c>
      <c r="L17" s="20">
        <f t="shared" si="2"/>
        <v>338890</v>
      </c>
      <c r="M17" s="231">
        <f t="shared" si="8"/>
        <v>0.15277499999999999</v>
      </c>
      <c r="N17" s="16"/>
      <c r="O17" s="5"/>
    </row>
    <row r="18" spans="1:16" s="3" customFormat="1" ht="34.5" customHeight="1">
      <c r="B18" s="4"/>
      <c r="C18" s="285"/>
      <c r="D18" s="47" t="s">
        <v>27</v>
      </c>
      <c r="E18" s="158">
        <f t="shared" si="9"/>
        <v>300000</v>
      </c>
      <c r="F18" s="159">
        <f t="shared" si="9"/>
        <v>300000</v>
      </c>
      <c r="G18" s="15">
        <f t="shared" si="10"/>
        <v>300000</v>
      </c>
      <c r="H18" s="17"/>
      <c r="I18" s="18">
        <f t="shared" si="11"/>
        <v>280000</v>
      </c>
      <c r="J18" s="18">
        <f t="shared" si="6"/>
        <v>20000</v>
      </c>
      <c r="K18" s="18">
        <f t="shared" si="7"/>
        <v>0</v>
      </c>
      <c r="L18" s="20">
        <f t="shared" si="2"/>
        <v>20000</v>
      </c>
      <c r="M18" s="231">
        <f t="shared" si="8"/>
        <v>0.93333333333333335</v>
      </c>
      <c r="N18" s="16"/>
      <c r="O18" s="5"/>
    </row>
    <row r="19" spans="1:16" s="3" customFormat="1" ht="34.5" hidden="1" customHeight="1" outlineLevel="1">
      <c r="B19" s="4"/>
      <c r="C19" s="285"/>
      <c r="D19" s="47"/>
      <c r="E19" s="158">
        <f t="shared" si="9"/>
        <v>100000</v>
      </c>
      <c r="F19" s="159">
        <f t="shared" si="9"/>
        <v>100000</v>
      </c>
      <c r="G19" s="15">
        <f t="shared" si="10"/>
        <v>100000</v>
      </c>
      <c r="H19" s="17"/>
      <c r="I19" s="18">
        <f t="shared" si="11"/>
        <v>0</v>
      </c>
      <c r="J19" s="18">
        <f t="shared" si="6"/>
        <v>100000</v>
      </c>
      <c r="K19" s="18">
        <f t="shared" si="7"/>
        <v>0</v>
      </c>
      <c r="L19" s="20">
        <f t="shared" si="2"/>
        <v>100000</v>
      </c>
      <c r="M19" s="231">
        <f t="shared" si="8"/>
        <v>0</v>
      </c>
      <c r="N19" s="16"/>
      <c r="O19" s="5"/>
    </row>
    <row r="20" spans="1:16" s="3" customFormat="1" ht="34.5" customHeight="1" collapsed="1" thickBot="1">
      <c r="B20" s="4"/>
      <c r="C20" s="285"/>
      <c r="D20" s="47" t="s">
        <v>31</v>
      </c>
      <c r="E20" s="168">
        <f t="shared" si="9"/>
        <v>5000000</v>
      </c>
      <c r="F20" s="169">
        <f t="shared" si="9"/>
        <v>4500000</v>
      </c>
      <c r="G20" s="29">
        <f t="shared" si="10"/>
        <v>4500000</v>
      </c>
      <c r="H20" s="29"/>
      <c r="I20" s="30">
        <f t="shared" si="11"/>
        <v>550000</v>
      </c>
      <c r="J20" s="30">
        <f t="shared" si="6"/>
        <v>3950000</v>
      </c>
      <c r="K20" s="30">
        <f t="shared" si="7"/>
        <v>0</v>
      </c>
      <c r="L20" s="30">
        <f t="shared" si="2"/>
        <v>3950000</v>
      </c>
      <c r="M20" s="232">
        <f t="shared" si="8"/>
        <v>0.12222222222222222</v>
      </c>
      <c r="N20" s="31"/>
      <c r="O20" s="5"/>
    </row>
    <row r="21" spans="1:16" s="3" customFormat="1" ht="34.5" hidden="1" customHeight="1" outlineLevel="1" thickTop="1">
      <c r="B21" s="4"/>
      <c r="C21" s="285"/>
      <c r="D21" s="47" t="s">
        <v>30</v>
      </c>
      <c r="E21" s="164"/>
      <c r="F21" s="165"/>
      <c r="G21" s="111">
        <f t="shared" si="10"/>
        <v>0</v>
      </c>
      <c r="H21" s="166"/>
      <c r="I21" s="167"/>
      <c r="J21" s="167">
        <f t="shared" si="6"/>
        <v>0</v>
      </c>
      <c r="K21" s="167">
        <f t="shared" si="7"/>
        <v>0</v>
      </c>
      <c r="L21" s="112">
        <f t="shared" si="2"/>
        <v>0</v>
      </c>
      <c r="M21" s="234">
        <f t="shared" si="8"/>
        <v>0</v>
      </c>
      <c r="N21" s="113"/>
      <c r="O21" s="5"/>
    </row>
    <row r="22" spans="1:16" s="3" customFormat="1" ht="34.5" hidden="1" customHeight="1" outlineLevel="1">
      <c r="B22" s="4"/>
      <c r="C22" s="285"/>
      <c r="D22" s="47" t="s">
        <v>51</v>
      </c>
      <c r="E22" s="32"/>
      <c r="F22" s="1"/>
      <c r="G22" s="15">
        <f t="shared" si="10"/>
        <v>0</v>
      </c>
      <c r="H22" s="17"/>
      <c r="I22" s="18"/>
      <c r="J22" s="18">
        <f t="shared" si="6"/>
        <v>0</v>
      </c>
      <c r="K22" s="18">
        <f t="shared" si="7"/>
        <v>0</v>
      </c>
      <c r="L22" s="20">
        <f t="shared" si="2"/>
        <v>0</v>
      </c>
      <c r="M22" s="231">
        <f t="shared" si="8"/>
        <v>0</v>
      </c>
      <c r="N22" s="16"/>
      <c r="O22" s="5"/>
    </row>
    <row r="23" spans="1:16" s="3" customFormat="1" ht="34.5" hidden="1" customHeight="1" outlineLevel="1" thickBot="1">
      <c r="B23" s="4"/>
      <c r="C23" s="285"/>
      <c r="D23" s="50" t="s">
        <v>32</v>
      </c>
      <c r="E23" s="33"/>
      <c r="F23" s="28"/>
      <c r="G23" s="29">
        <f t="shared" si="10"/>
        <v>0</v>
      </c>
      <c r="H23" s="29"/>
      <c r="I23" s="30"/>
      <c r="J23" s="30">
        <f t="shared" si="6"/>
        <v>0</v>
      </c>
      <c r="K23" s="30">
        <f t="shared" si="7"/>
        <v>0</v>
      </c>
      <c r="L23" s="30">
        <f t="shared" si="2"/>
        <v>0</v>
      </c>
      <c r="M23" s="232">
        <f t="shared" si="8"/>
        <v>0</v>
      </c>
      <c r="N23" s="31"/>
      <c r="O23" s="5"/>
    </row>
    <row r="24" spans="1:16" s="3" customFormat="1" ht="34.5" customHeight="1" collapsed="1" thickTop="1" thickBot="1">
      <c r="B24" s="4"/>
      <c r="C24" s="324"/>
      <c r="D24" s="114" t="s">
        <v>36</v>
      </c>
      <c r="E24" s="57">
        <f>SUM(E15:E23)</f>
        <v>61500000</v>
      </c>
      <c r="F24" s="54">
        <f>SUM(F15:F23)</f>
        <v>53300000</v>
      </c>
      <c r="G24" s="41">
        <f>SUM(G15:G23)</f>
        <v>53300000</v>
      </c>
      <c r="H24" s="41"/>
      <c r="I24" s="56">
        <f>SUM(I15:I23)</f>
        <v>44342566</v>
      </c>
      <c r="J24" s="56">
        <f>G24-I24</f>
        <v>8957434</v>
      </c>
      <c r="K24" s="42">
        <f>SUM(K15:K23)</f>
        <v>0</v>
      </c>
      <c r="L24" s="56">
        <f t="shared" si="2"/>
        <v>8957434</v>
      </c>
      <c r="M24" s="233">
        <f>IF(G24=0,0,I24/G24)</f>
        <v>0.8319430769230769</v>
      </c>
      <c r="N24" s="43"/>
      <c r="O24" s="5"/>
    </row>
    <row r="25" spans="1:16" s="19" customFormat="1" ht="34.5" customHeight="1" thickBot="1">
      <c r="B25" s="25"/>
      <c r="C25" s="295" t="s">
        <v>3</v>
      </c>
      <c r="D25" s="279"/>
      <c r="E25" s="13">
        <f>E14+E24</f>
        <v>62500000</v>
      </c>
      <c r="F25" s="13">
        <f t="shared" ref="F25:L25" si="12">F14+F24</f>
        <v>54200000</v>
      </c>
      <c r="G25" s="13">
        <f t="shared" si="12"/>
        <v>54200000</v>
      </c>
      <c r="H25" s="13">
        <f t="shared" si="12"/>
        <v>0</v>
      </c>
      <c r="I25" s="13">
        <f t="shared" si="12"/>
        <v>45892566</v>
      </c>
      <c r="J25" s="13">
        <f t="shared" si="12"/>
        <v>8307434</v>
      </c>
      <c r="K25" s="13">
        <f>K14+K24</f>
        <v>0</v>
      </c>
      <c r="L25" s="13">
        <f t="shared" si="12"/>
        <v>8307434</v>
      </c>
      <c r="M25" s="233">
        <f>IF(G25=0,0,I25/G25)</f>
        <v>0.84672630996309961</v>
      </c>
      <c r="N25" s="27"/>
      <c r="O25" s="26"/>
    </row>
    <row r="26" spans="1:16" s="3" customFormat="1" ht="13.5">
      <c r="B26" s="4"/>
      <c r="C26" s="3" t="s">
        <v>76</v>
      </c>
      <c r="N26" s="14"/>
      <c r="O26" s="5"/>
    </row>
    <row r="27" spans="1:16" s="3" customFormat="1" ht="13.5">
      <c r="B27" s="4"/>
      <c r="C27" s="3" t="s">
        <v>24</v>
      </c>
      <c r="N27" s="14"/>
      <c r="O27" s="5"/>
    </row>
    <row r="28" spans="1:16" s="3" customFormat="1" ht="34.5" customHeight="1">
      <c r="B28" s="4"/>
      <c r="N28" s="14"/>
      <c r="O28" s="5"/>
    </row>
    <row r="29" spans="1:16" s="3" customFormat="1" ht="13.5">
      <c r="B29" s="4"/>
      <c r="C29" s="3" t="s">
        <v>68</v>
      </c>
      <c r="F29" s="21"/>
      <c r="O29" s="5"/>
    </row>
    <row r="30" spans="1:16" ht="17.25" thickBot="1">
      <c r="A30" s="177"/>
      <c r="P30" s="178"/>
    </row>
    <row r="31" spans="1:16" ht="34.5" customHeight="1">
      <c r="A31" s="177"/>
      <c r="C31" s="302" t="s">
        <v>67</v>
      </c>
      <c r="D31" s="303"/>
      <c r="E31" s="314" t="s">
        <v>50</v>
      </c>
      <c r="F31" s="315"/>
      <c r="G31" s="315"/>
      <c r="H31" s="278"/>
      <c r="I31" s="280" t="s">
        <v>283</v>
      </c>
      <c r="J31" s="280" t="s">
        <v>75</v>
      </c>
      <c r="K31" s="280" t="s">
        <v>52</v>
      </c>
      <c r="L31" s="278" t="s">
        <v>74</v>
      </c>
      <c r="M31" s="280" t="s">
        <v>16</v>
      </c>
      <c r="N31" s="321" t="s">
        <v>14</v>
      </c>
      <c r="P31" s="178"/>
    </row>
    <row r="32" spans="1:16" ht="34.5" customHeight="1" thickBot="1">
      <c r="A32" s="177"/>
      <c r="C32" s="304"/>
      <c r="D32" s="305"/>
      <c r="E32" s="81" t="s">
        <v>28</v>
      </c>
      <c r="F32" s="81" t="s">
        <v>29</v>
      </c>
      <c r="G32" s="81" t="s">
        <v>35</v>
      </c>
      <c r="H32" s="81" t="s">
        <v>15</v>
      </c>
      <c r="I32" s="281"/>
      <c r="J32" s="281"/>
      <c r="K32" s="281"/>
      <c r="L32" s="279"/>
      <c r="M32" s="281"/>
      <c r="N32" s="322"/>
      <c r="P32" s="178"/>
    </row>
    <row r="33" spans="1:16" ht="34.5" customHeight="1">
      <c r="A33" s="177"/>
      <c r="C33" s="44" t="s">
        <v>49</v>
      </c>
      <c r="D33" s="84" t="s">
        <v>39</v>
      </c>
      <c r="E33" s="51">
        <v>50000000</v>
      </c>
      <c r="F33" s="52">
        <v>45000000</v>
      </c>
      <c r="G33" s="36">
        <f t="shared" ref="G33:G44" si="13">IF(F33="",E33,F33)</f>
        <v>45000000</v>
      </c>
      <c r="H33" s="36"/>
      <c r="I33" s="53">
        <f>+'간접비-보수'!I13</f>
        <v>43050000</v>
      </c>
      <c r="J33" s="53">
        <f>G33-I33</f>
        <v>1950000</v>
      </c>
      <c r="K33" s="60">
        <f>K15</f>
        <v>0</v>
      </c>
      <c r="L33" s="20">
        <f t="shared" ref="L33:L45" si="14">J33-K33</f>
        <v>1950000</v>
      </c>
      <c r="M33" s="230">
        <f>IF(G33=0,0,I33/G33)</f>
        <v>0.95666666666666667</v>
      </c>
      <c r="N33" s="38"/>
      <c r="P33" s="178"/>
    </row>
    <row r="34" spans="1:16" ht="34.5" customHeight="1">
      <c r="A34" s="177"/>
      <c r="C34" s="327" t="s">
        <v>66</v>
      </c>
      <c r="D34" s="88" t="s">
        <v>235</v>
      </c>
      <c r="E34" s="32">
        <v>1000000</v>
      </c>
      <c r="F34" s="1">
        <v>900000</v>
      </c>
      <c r="G34" s="15">
        <f t="shared" si="13"/>
        <v>900000</v>
      </c>
      <c r="H34" s="17"/>
      <c r="I34" s="18">
        <f>+'간접비-일반운영비'!J3</f>
        <v>351456</v>
      </c>
      <c r="J34" s="18">
        <f t="shared" ref="J34:J44" si="15">G34-I34</f>
        <v>548544</v>
      </c>
      <c r="K34" s="59">
        <f>K16</f>
        <v>0</v>
      </c>
      <c r="L34" s="20">
        <f t="shared" si="14"/>
        <v>548544</v>
      </c>
      <c r="M34" s="231">
        <f t="shared" ref="M34:M44" si="16">IF(G34=0,0,I34/G34)</f>
        <v>0.39050666666666667</v>
      </c>
      <c r="N34" s="58"/>
      <c r="P34" s="178"/>
    </row>
    <row r="35" spans="1:16" ht="34.5" customHeight="1">
      <c r="A35" s="177"/>
      <c r="C35" s="327"/>
      <c r="D35" s="89" t="s">
        <v>237</v>
      </c>
      <c r="E35" s="32">
        <v>1100000</v>
      </c>
      <c r="F35" s="1">
        <v>800000</v>
      </c>
      <c r="G35" s="15">
        <f t="shared" si="13"/>
        <v>800000</v>
      </c>
      <c r="H35" s="17"/>
      <c r="I35" s="18">
        <f>+'간접비-일반운영비'!J4</f>
        <v>50000</v>
      </c>
      <c r="J35" s="18">
        <f t="shared" si="15"/>
        <v>750000</v>
      </c>
      <c r="K35" s="59">
        <f>K16</f>
        <v>0</v>
      </c>
      <c r="L35" s="20">
        <f t="shared" si="14"/>
        <v>750000</v>
      </c>
      <c r="M35" s="231">
        <f t="shared" si="16"/>
        <v>6.25E-2</v>
      </c>
      <c r="N35" s="16"/>
      <c r="P35" s="178"/>
    </row>
    <row r="36" spans="1:16" ht="34.5" customHeight="1">
      <c r="A36" s="177"/>
      <c r="C36" s="327"/>
      <c r="D36" s="89" t="s">
        <v>238</v>
      </c>
      <c r="E36" s="32">
        <v>1500000</v>
      </c>
      <c r="F36" s="1">
        <v>700000</v>
      </c>
      <c r="G36" s="15">
        <f t="shared" si="13"/>
        <v>700000</v>
      </c>
      <c r="H36" s="17"/>
      <c r="I36" s="18">
        <f>+'간접비-일반운영비'!J5</f>
        <v>0</v>
      </c>
      <c r="J36" s="18">
        <f t="shared" si="15"/>
        <v>700000</v>
      </c>
      <c r="K36" s="59">
        <f>K16</f>
        <v>0</v>
      </c>
      <c r="L36" s="20">
        <f t="shared" si="14"/>
        <v>700000</v>
      </c>
      <c r="M36" s="231">
        <f t="shared" si="16"/>
        <v>0</v>
      </c>
      <c r="N36" s="16"/>
      <c r="P36" s="178"/>
    </row>
    <row r="37" spans="1:16" ht="34.5" customHeight="1">
      <c r="A37" s="177"/>
      <c r="C37" s="327"/>
      <c r="D37" s="89" t="s">
        <v>239</v>
      </c>
      <c r="E37" s="32">
        <v>2000000</v>
      </c>
      <c r="F37" s="1">
        <v>600000</v>
      </c>
      <c r="G37" s="15">
        <f t="shared" si="13"/>
        <v>600000</v>
      </c>
      <c r="H37" s="17"/>
      <c r="I37" s="18">
        <f>+'간접비-일반운영비'!J6</f>
        <v>0</v>
      </c>
      <c r="J37" s="18">
        <f t="shared" si="15"/>
        <v>600000</v>
      </c>
      <c r="K37" s="59">
        <f>K17</f>
        <v>0</v>
      </c>
      <c r="L37" s="20">
        <f t="shared" si="14"/>
        <v>600000</v>
      </c>
      <c r="M37" s="231">
        <f t="shared" si="16"/>
        <v>0</v>
      </c>
      <c r="N37" s="16"/>
      <c r="P37" s="178"/>
    </row>
    <row r="38" spans="1:16" ht="34.5" customHeight="1">
      <c r="A38" s="177"/>
      <c r="C38" s="45" t="s">
        <v>41</v>
      </c>
      <c r="D38" s="89" t="s">
        <v>48</v>
      </c>
      <c r="E38" s="32">
        <v>500000</v>
      </c>
      <c r="F38" s="1">
        <v>400000</v>
      </c>
      <c r="G38" s="15">
        <f>IF(F38="",E38,F38)</f>
        <v>400000</v>
      </c>
      <c r="H38" s="17"/>
      <c r="I38" s="18">
        <f>+'간접비-여비'!H7</f>
        <v>61110</v>
      </c>
      <c r="J38" s="18">
        <f t="shared" si="15"/>
        <v>338890</v>
      </c>
      <c r="K38" s="59">
        <f>K17</f>
        <v>0</v>
      </c>
      <c r="L38" s="20">
        <f t="shared" si="14"/>
        <v>338890</v>
      </c>
      <c r="M38" s="231">
        <f t="shared" si="16"/>
        <v>0.15277499999999999</v>
      </c>
      <c r="N38" s="16"/>
      <c r="P38" s="178"/>
    </row>
    <row r="39" spans="1:16" ht="34.5" customHeight="1">
      <c r="A39" s="177"/>
      <c r="C39" s="342" t="s">
        <v>42</v>
      </c>
      <c r="D39" s="89" t="s">
        <v>62</v>
      </c>
      <c r="E39" s="32">
        <v>300000</v>
      </c>
      <c r="F39" s="1">
        <v>300000</v>
      </c>
      <c r="G39" s="15">
        <f t="shared" si="13"/>
        <v>300000</v>
      </c>
      <c r="H39" s="17"/>
      <c r="I39" s="18">
        <f>+'간접비-업무추진비'!I9</f>
        <v>280000</v>
      </c>
      <c r="J39" s="18">
        <f t="shared" si="15"/>
        <v>20000</v>
      </c>
      <c r="K39" s="59">
        <f>K18</f>
        <v>0</v>
      </c>
      <c r="L39" s="20">
        <f t="shared" si="14"/>
        <v>20000</v>
      </c>
      <c r="M39" s="231">
        <f t="shared" si="16"/>
        <v>0.93333333333333335</v>
      </c>
      <c r="N39" s="16"/>
      <c r="P39" s="178"/>
    </row>
    <row r="40" spans="1:16" ht="34.5" customHeight="1">
      <c r="A40" s="177"/>
      <c r="C40" s="343"/>
      <c r="D40" s="89" t="s">
        <v>339</v>
      </c>
      <c r="E40" s="32">
        <v>100000</v>
      </c>
      <c r="F40" s="1">
        <v>100000</v>
      </c>
      <c r="G40" s="15">
        <f t="shared" si="13"/>
        <v>100000</v>
      </c>
      <c r="H40" s="17"/>
      <c r="I40" s="18"/>
      <c r="J40" s="18">
        <f t="shared" si="15"/>
        <v>100000</v>
      </c>
      <c r="K40" s="59">
        <f>K19</f>
        <v>0</v>
      </c>
      <c r="L40" s="20">
        <f t="shared" si="14"/>
        <v>100000</v>
      </c>
      <c r="M40" s="231">
        <f t="shared" si="16"/>
        <v>0</v>
      </c>
      <c r="N40" s="16"/>
      <c r="P40" s="178"/>
    </row>
    <row r="41" spans="1:16" ht="34.5" customHeight="1" thickBot="1">
      <c r="A41" s="177"/>
      <c r="C41" s="92" t="s">
        <v>44</v>
      </c>
      <c r="D41" s="91" t="s">
        <v>44</v>
      </c>
      <c r="E41" s="33">
        <v>5000000</v>
      </c>
      <c r="F41" s="28">
        <v>4500000</v>
      </c>
      <c r="G41" s="29">
        <f t="shared" si="13"/>
        <v>4500000</v>
      </c>
      <c r="H41" s="29"/>
      <c r="I41" s="30">
        <f>+'간접비-기타직보수'!I7</f>
        <v>550000</v>
      </c>
      <c r="J41" s="30">
        <f t="shared" si="15"/>
        <v>3950000</v>
      </c>
      <c r="K41" s="61">
        <f>K20</f>
        <v>0</v>
      </c>
      <c r="L41" s="30">
        <f>J41-K41</f>
        <v>3950000</v>
      </c>
      <c r="M41" s="232">
        <f t="shared" si="16"/>
        <v>0.12222222222222222</v>
      </c>
      <c r="N41" s="31"/>
      <c r="P41" s="178"/>
    </row>
    <row r="42" spans="1:16" ht="34.5" hidden="1" customHeight="1" outlineLevel="1" thickTop="1">
      <c r="C42" s="170" t="s">
        <v>69</v>
      </c>
      <c r="D42" s="171" t="s">
        <v>71</v>
      </c>
      <c r="E42" s="172"/>
      <c r="F42" s="165"/>
      <c r="G42" s="111">
        <f t="shared" si="13"/>
        <v>0</v>
      </c>
      <c r="H42" s="166"/>
      <c r="I42" s="167"/>
      <c r="J42" s="167">
        <f t="shared" si="15"/>
        <v>0</v>
      </c>
      <c r="K42" s="173">
        <f>K23</f>
        <v>0</v>
      </c>
      <c r="L42" s="112">
        <f>J42-K42</f>
        <v>0</v>
      </c>
      <c r="M42" s="234">
        <f t="shared" si="16"/>
        <v>0</v>
      </c>
      <c r="N42" s="235"/>
    </row>
    <row r="43" spans="1:16" ht="34.5" hidden="1" customHeight="1" outlineLevel="1">
      <c r="C43" s="45" t="s">
        <v>51</v>
      </c>
      <c r="D43" s="90" t="s">
        <v>73</v>
      </c>
      <c r="E43" s="85"/>
      <c r="F43" s="1"/>
      <c r="G43" s="15">
        <f t="shared" si="13"/>
        <v>0</v>
      </c>
      <c r="H43" s="17"/>
      <c r="I43" s="18"/>
      <c r="J43" s="18">
        <f t="shared" si="15"/>
        <v>0</v>
      </c>
      <c r="K43" s="86">
        <f>K22</f>
        <v>0</v>
      </c>
      <c r="L43" s="20">
        <f>J43-K43</f>
        <v>0</v>
      </c>
      <c r="M43" s="231">
        <f t="shared" si="16"/>
        <v>0</v>
      </c>
      <c r="N43" s="87"/>
    </row>
    <row r="44" spans="1:16" ht="34.5" hidden="1" customHeight="1" outlineLevel="1" thickBot="1">
      <c r="C44" s="92" t="s">
        <v>70</v>
      </c>
      <c r="D44" s="91" t="s">
        <v>70</v>
      </c>
      <c r="E44" s="33"/>
      <c r="F44" s="28"/>
      <c r="G44" s="29">
        <f t="shared" si="13"/>
        <v>0</v>
      </c>
      <c r="H44" s="29"/>
      <c r="I44" s="30"/>
      <c r="J44" s="30">
        <f t="shared" si="15"/>
        <v>0</v>
      </c>
      <c r="K44" s="61">
        <f>K21</f>
        <v>0</v>
      </c>
      <c r="L44" s="30">
        <f t="shared" si="14"/>
        <v>0</v>
      </c>
      <c r="M44" s="232">
        <f t="shared" si="16"/>
        <v>0</v>
      </c>
      <c r="N44" s="31"/>
    </row>
    <row r="45" spans="1:16" s="19" customFormat="1" ht="34.5" customHeight="1" collapsed="1" thickTop="1" thickBot="1">
      <c r="B45" s="25"/>
      <c r="C45" s="340" t="s">
        <v>36</v>
      </c>
      <c r="D45" s="341"/>
      <c r="E45" s="57">
        <f>SUM(E33:E44)</f>
        <v>61500000</v>
      </c>
      <c r="F45" s="54">
        <f>SUM(F33:F44)</f>
        <v>53300000</v>
      </c>
      <c r="G45" s="41">
        <f>SUM(G33:G44)</f>
        <v>53300000</v>
      </c>
      <c r="H45" s="41"/>
      <c r="I45" s="56">
        <f>SUM(I33:I44)</f>
        <v>44342566</v>
      </c>
      <c r="J45" s="56">
        <f>G45-I45</f>
        <v>8957434</v>
      </c>
      <c r="K45" s="42">
        <f>SUM(K33:K44)</f>
        <v>0</v>
      </c>
      <c r="L45" s="56">
        <f t="shared" si="14"/>
        <v>8957434</v>
      </c>
      <c r="M45" s="233">
        <f>IF(G45=0,0,I45/G45)</f>
        <v>0.8319430769230769</v>
      </c>
      <c r="N45" s="43"/>
      <c r="O45" s="26"/>
      <c r="P45" s="19" t="b">
        <f>L45=L24</f>
        <v>1</v>
      </c>
    </row>
    <row r="46" spans="1:16" s="19" customFormat="1" ht="34.5" customHeight="1">
      <c r="B46" s="25"/>
      <c r="C46" s="83"/>
      <c r="D46" s="83"/>
      <c r="O46" s="26"/>
    </row>
    <row r="47" spans="1:16" s="3" customFormat="1" ht="13.5">
      <c r="B47" s="4"/>
      <c r="C47" s="3" t="s">
        <v>284</v>
      </c>
      <c r="N47" s="14"/>
      <c r="O47" s="5"/>
    </row>
    <row r="48" spans="1:16" s="3" customFormat="1" ht="14.25" thickBot="1">
      <c r="B48" s="4"/>
      <c r="N48" s="14"/>
      <c r="O48" s="5"/>
    </row>
    <row r="49" spans="2:15" s="3" customFormat="1" ht="34.5" customHeight="1">
      <c r="B49" s="4"/>
      <c r="C49" s="302" t="s">
        <v>67</v>
      </c>
      <c r="D49" s="303"/>
      <c r="E49" s="325" t="s">
        <v>4</v>
      </c>
      <c r="F49" s="323"/>
      <c r="G49" s="333" t="s">
        <v>2</v>
      </c>
      <c r="H49" s="323"/>
      <c r="I49" s="338" t="s">
        <v>21</v>
      </c>
      <c r="J49" s="323" t="s">
        <v>285</v>
      </c>
      <c r="K49" s="317" t="s">
        <v>5</v>
      </c>
      <c r="L49" s="307"/>
      <c r="M49" s="307"/>
      <c r="N49" s="318"/>
      <c r="O49" s="5"/>
    </row>
    <row r="50" spans="2:15" s="3" customFormat="1" ht="34.5" customHeight="1" thickBot="1">
      <c r="B50" s="4"/>
      <c r="C50" s="304"/>
      <c r="D50" s="305"/>
      <c r="E50" s="326"/>
      <c r="F50" s="279"/>
      <c r="G50" s="334"/>
      <c r="H50" s="279"/>
      <c r="I50" s="339"/>
      <c r="J50" s="279"/>
      <c r="K50" s="311" t="s">
        <v>6</v>
      </c>
      <c r="L50" s="310"/>
      <c r="M50" s="311" t="s">
        <v>7</v>
      </c>
      <c r="N50" s="316"/>
      <c r="O50" s="5"/>
    </row>
    <row r="51" spans="2:15" s="3" customFormat="1" ht="34.5" customHeight="1">
      <c r="B51" s="4"/>
      <c r="C51" s="306" t="s">
        <v>281</v>
      </c>
      <c r="D51" s="318"/>
      <c r="E51" s="287"/>
      <c r="F51" s="288"/>
      <c r="G51" s="319"/>
      <c r="H51" s="288"/>
      <c r="I51" s="220"/>
      <c r="J51" s="211">
        <f>+E51-G51</f>
        <v>0</v>
      </c>
      <c r="K51" s="319"/>
      <c r="L51" s="288"/>
      <c r="M51" s="319"/>
      <c r="N51" s="320"/>
      <c r="O51" s="5"/>
    </row>
    <row r="52" spans="2:15" s="3" customFormat="1" ht="34.5" customHeight="1" thickBot="1">
      <c r="B52" s="4"/>
      <c r="C52" s="335" t="s">
        <v>282</v>
      </c>
      <c r="D52" s="336"/>
      <c r="E52" s="337"/>
      <c r="F52" s="329"/>
      <c r="G52" s="328"/>
      <c r="H52" s="329"/>
      <c r="I52" s="73"/>
      <c r="J52" s="211">
        <f>+E52-G52</f>
        <v>0</v>
      </c>
      <c r="K52" s="328"/>
      <c r="L52" s="329"/>
      <c r="M52" s="328"/>
      <c r="N52" s="331"/>
      <c r="O52" s="5"/>
    </row>
    <row r="53" spans="2:15" s="19" customFormat="1" ht="34.5" customHeight="1" thickTop="1" thickBot="1">
      <c r="B53" s="25"/>
      <c r="C53" s="295" t="s">
        <v>3</v>
      </c>
      <c r="D53" s="279"/>
      <c r="E53" s="300">
        <f>E51+E52</f>
        <v>0</v>
      </c>
      <c r="F53" s="301"/>
      <c r="G53" s="330">
        <f>G51+G52</f>
        <v>0</v>
      </c>
      <c r="H53" s="301"/>
      <c r="I53" s="208"/>
      <c r="J53" s="208">
        <f>+J51+J52</f>
        <v>0</v>
      </c>
      <c r="K53" s="330">
        <f>K51+K52</f>
        <v>0</v>
      </c>
      <c r="L53" s="301"/>
      <c r="M53" s="330"/>
      <c r="N53" s="332"/>
      <c r="O53" s="26"/>
    </row>
    <row r="54" spans="2:15" s="3" customFormat="1" ht="34.5" customHeight="1">
      <c r="B54" s="4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5"/>
    </row>
    <row r="55" spans="2:15" s="3" customFormat="1" ht="13.5" hidden="1" outlineLevel="1">
      <c r="B55" s="4"/>
      <c r="C55" s="3" t="s">
        <v>72</v>
      </c>
      <c r="O55" s="5"/>
    </row>
    <row r="56" spans="2:15" s="3" customFormat="1" ht="14.25" hidden="1" outlineLevel="1" thickBot="1">
      <c r="B56" s="4"/>
      <c r="O56" s="5"/>
    </row>
    <row r="57" spans="2:15" s="3" customFormat="1" ht="34.5" hidden="1" customHeight="1" outlineLevel="1">
      <c r="B57" s="4"/>
      <c r="C57" s="302" t="s">
        <v>67</v>
      </c>
      <c r="D57" s="303"/>
      <c r="E57" s="306" t="s">
        <v>8</v>
      </c>
      <c r="F57" s="307"/>
      <c r="G57" s="307"/>
      <c r="H57" s="307"/>
      <c r="I57" s="308"/>
      <c r="J57" s="307"/>
      <c r="K57" s="307"/>
      <c r="L57" s="307"/>
      <c r="M57" s="307"/>
      <c r="N57" s="318"/>
      <c r="O57" s="5"/>
    </row>
    <row r="58" spans="2:15" s="3" customFormat="1" ht="34.5" hidden="1" customHeight="1" outlineLevel="1" thickBot="1">
      <c r="B58" s="4"/>
      <c r="C58" s="304"/>
      <c r="D58" s="305"/>
      <c r="E58" s="309" t="s">
        <v>9</v>
      </c>
      <c r="F58" s="310"/>
      <c r="G58" s="311" t="s">
        <v>10</v>
      </c>
      <c r="H58" s="310"/>
      <c r="I58" s="210"/>
      <c r="J58" s="210"/>
      <c r="K58" s="311" t="s">
        <v>12</v>
      </c>
      <c r="L58" s="310"/>
      <c r="M58" s="311" t="s">
        <v>11</v>
      </c>
      <c r="N58" s="316"/>
      <c r="O58" s="5"/>
    </row>
    <row r="59" spans="2:15" s="3" customFormat="1" ht="34.5" hidden="1" customHeight="1" outlineLevel="1">
      <c r="B59" s="4"/>
      <c r="C59" s="284" t="s">
        <v>33</v>
      </c>
      <c r="D59" s="44" t="s">
        <v>77</v>
      </c>
      <c r="E59" s="349"/>
      <c r="F59" s="350"/>
      <c r="G59" s="346"/>
      <c r="H59" s="350"/>
      <c r="I59" s="221"/>
      <c r="J59" s="221"/>
      <c r="K59" s="346"/>
      <c r="L59" s="350"/>
      <c r="M59" s="346"/>
      <c r="N59" s="347"/>
      <c r="O59" s="5"/>
    </row>
    <row r="60" spans="2:15" s="3" customFormat="1" ht="34.5" hidden="1" customHeight="1" outlineLevel="1">
      <c r="B60" s="4"/>
      <c r="C60" s="285"/>
      <c r="D60" s="45" t="s">
        <v>191</v>
      </c>
      <c r="E60" s="299"/>
      <c r="F60" s="294"/>
      <c r="G60" s="293"/>
      <c r="H60" s="294"/>
      <c r="I60" s="222"/>
      <c r="J60" s="222"/>
      <c r="K60" s="293"/>
      <c r="L60" s="294"/>
      <c r="M60" s="293"/>
      <c r="N60" s="348"/>
      <c r="O60" s="5"/>
    </row>
    <row r="61" spans="2:15" s="3" customFormat="1" ht="34.5" hidden="1" customHeight="1" outlineLevel="1">
      <c r="B61" s="4"/>
      <c r="C61" s="285"/>
      <c r="D61" s="45" t="s">
        <v>192</v>
      </c>
      <c r="E61" s="299"/>
      <c r="F61" s="294"/>
      <c r="G61" s="293"/>
      <c r="H61" s="294"/>
      <c r="I61" s="222"/>
      <c r="J61" s="222"/>
      <c r="K61" s="293"/>
      <c r="L61" s="294"/>
      <c r="M61" s="293"/>
      <c r="N61" s="348"/>
      <c r="O61" s="5"/>
    </row>
    <row r="62" spans="2:15" s="3" customFormat="1" ht="34.5" hidden="1" customHeight="1" outlineLevel="1">
      <c r="B62" s="4"/>
      <c r="C62" s="285"/>
      <c r="D62" s="47" t="s">
        <v>38</v>
      </c>
      <c r="E62" s="223"/>
      <c r="F62" s="222"/>
      <c r="G62" s="224"/>
      <c r="H62" s="222"/>
      <c r="I62" s="222"/>
      <c r="J62" s="222"/>
      <c r="K62" s="224"/>
      <c r="L62" s="222"/>
      <c r="M62" s="224"/>
      <c r="N62" s="225"/>
      <c r="O62" s="5"/>
    </row>
    <row r="63" spans="2:15" s="3" customFormat="1" ht="34.5" hidden="1" customHeight="1" outlineLevel="1">
      <c r="B63" s="4"/>
      <c r="C63" s="285"/>
      <c r="D63" s="48" t="s">
        <v>51</v>
      </c>
      <c r="E63" s="299"/>
      <c r="F63" s="294"/>
      <c r="G63" s="293"/>
      <c r="H63" s="294"/>
      <c r="I63" s="222"/>
      <c r="J63" s="222"/>
      <c r="K63" s="293"/>
      <c r="L63" s="294"/>
      <c r="M63" s="293"/>
      <c r="N63" s="348"/>
      <c r="O63" s="5"/>
    </row>
    <row r="64" spans="2:15" s="3" customFormat="1" ht="34.5" hidden="1" customHeight="1" outlineLevel="1" thickBot="1">
      <c r="B64" s="4"/>
      <c r="C64" s="286"/>
      <c r="D64" s="50"/>
      <c r="E64" s="299"/>
      <c r="F64" s="294"/>
      <c r="G64" s="293"/>
      <c r="H64" s="294"/>
      <c r="I64" s="222"/>
      <c r="J64" s="222"/>
      <c r="K64" s="293"/>
      <c r="L64" s="294"/>
      <c r="M64" s="293"/>
      <c r="N64" s="348"/>
      <c r="O64" s="5"/>
    </row>
    <row r="65" spans="2:15" s="3" customFormat="1" ht="34.5" hidden="1" customHeight="1" outlineLevel="1" thickTop="1">
      <c r="B65" s="4"/>
      <c r="C65" s="296" t="s">
        <v>34</v>
      </c>
      <c r="D65" s="47" t="s">
        <v>64</v>
      </c>
      <c r="E65" s="299"/>
      <c r="F65" s="294"/>
      <c r="G65" s="293"/>
      <c r="H65" s="294"/>
      <c r="I65" s="222"/>
      <c r="J65" s="222"/>
      <c r="K65" s="293"/>
      <c r="L65" s="294"/>
      <c r="M65" s="293"/>
      <c r="N65" s="348"/>
      <c r="O65" s="5"/>
    </row>
    <row r="66" spans="2:15" s="3" customFormat="1" ht="34.5" hidden="1" customHeight="1" outlineLevel="1">
      <c r="B66" s="4"/>
      <c r="C66" s="297"/>
      <c r="D66" s="47" t="s">
        <v>233</v>
      </c>
      <c r="E66" s="299"/>
      <c r="F66" s="294"/>
      <c r="G66" s="293"/>
      <c r="H66" s="294"/>
      <c r="I66" s="222"/>
      <c r="J66" s="222"/>
      <c r="K66" s="293"/>
      <c r="L66" s="294"/>
      <c r="M66" s="293"/>
      <c r="N66" s="348"/>
      <c r="O66" s="5"/>
    </row>
    <row r="67" spans="2:15" s="3" customFormat="1" ht="34.5" hidden="1" customHeight="1" outlineLevel="1">
      <c r="B67" s="4"/>
      <c r="C67" s="297"/>
      <c r="D67" s="47" t="s">
        <v>41</v>
      </c>
      <c r="E67" s="299"/>
      <c r="F67" s="294"/>
      <c r="G67" s="293"/>
      <c r="H67" s="294"/>
      <c r="I67" s="222"/>
      <c r="J67" s="222"/>
      <c r="K67" s="293"/>
      <c r="L67" s="294"/>
      <c r="M67" s="293"/>
      <c r="N67" s="348"/>
      <c r="O67" s="5"/>
    </row>
    <row r="68" spans="2:15" s="3" customFormat="1" ht="34.5" hidden="1" customHeight="1" outlineLevel="1">
      <c r="B68" s="4"/>
      <c r="C68" s="297"/>
      <c r="D68" s="47" t="s">
        <v>42</v>
      </c>
      <c r="E68" s="299"/>
      <c r="F68" s="294"/>
      <c r="G68" s="293"/>
      <c r="H68" s="294"/>
      <c r="I68" s="222"/>
      <c r="J68" s="222"/>
      <c r="K68" s="293"/>
      <c r="L68" s="294"/>
      <c r="M68" s="293"/>
      <c r="N68" s="348"/>
      <c r="O68" s="5"/>
    </row>
    <row r="69" spans="2:15" s="3" customFormat="1" ht="34.5" hidden="1" customHeight="1" outlineLevel="1">
      <c r="B69" s="4"/>
      <c r="C69" s="297"/>
      <c r="D69" s="48" t="s">
        <v>43</v>
      </c>
      <c r="E69" s="226"/>
      <c r="F69" s="227"/>
      <c r="G69" s="228"/>
      <c r="H69" s="227"/>
      <c r="I69" s="227"/>
      <c r="J69" s="227"/>
      <c r="K69" s="228"/>
      <c r="L69" s="227"/>
      <c r="M69" s="228"/>
      <c r="N69" s="229"/>
      <c r="O69" s="5"/>
    </row>
    <row r="70" spans="2:15" s="3" customFormat="1" ht="34.5" hidden="1" customHeight="1" outlineLevel="1">
      <c r="B70" s="4"/>
      <c r="C70" s="297"/>
      <c r="D70" s="48" t="s">
        <v>44</v>
      </c>
      <c r="E70" s="226"/>
      <c r="F70" s="227"/>
      <c r="G70" s="228"/>
      <c r="H70" s="227"/>
      <c r="I70" s="227"/>
      <c r="J70" s="227"/>
      <c r="K70" s="228"/>
      <c r="L70" s="227"/>
      <c r="M70" s="228"/>
      <c r="N70" s="229"/>
      <c r="O70" s="5"/>
    </row>
    <row r="71" spans="2:15" s="3" customFormat="1" ht="34.5" hidden="1" customHeight="1" outlineLevel="1">
      <c r="B71" s="4"/>
      <c r="C71" s="297"/>
      <c r="D71" s="48" t="s">
        <v>38</v>
      </c>
      <c r="E71" s="226"/>
      <c r="F71" s="227"/>
      <c r="G71" s="228"/>
      <c r="H71" s="227"/>
      <c r="I71" s="227"/>
      <c r="J71" s="227"/>
      <c r="K71" s="228"/>
      <c r="L71" s="227"/>
      <c r="M71" s="228"/>
      <c r="N71" s="229"/>
      <c r="O71" s="5"/>
    </row>
    <row r="72" spans="2:15" s="3" customFormat="1" ht="34.5" hidden="1" customHeight="1" outlineLevel="1">
      <c r="B72" s="4"/>
      <c r="C72" s="297"/>
      <c r="D72" s="48" t="s">
        <v>51</v>
      </c>
      <c r="E72" s="226"/>
      <c r="F72" s="227"/>
      <c r="G72" s="228"/>
      <c r="H72" s="227"/>
      <c r="I72" s="227"/>
      <c r="J72" s="227"/>
      <c r="K72" s="228"/>
      <c r="L72" s="227"/>
      <c r="M72" s="228"/>
      <c r="N72" s="229"/>
      <c r="O72" s="5"/>
    </row>
    <row r="73" spans="2:15" s="3" customFormat="1" ht="34.5" hidden="1" customHeight="1" outlineLevel="1" thickBot="1">
      <c r="B73" s="4"/>
      <c r="C73" s="298"/>
      <c r="D73" s="49" t="s">
        <v>45</v>
      </c>
      <c r="E73" s="226"/>
      <c r="F73" s="227"/>
      <c r="G73" s="228"/>
      <c r="H73" s="227"/>
      <c r="I73" s="227"/>
      <c r="J73" s="227"/>
      <c r="K73" s="228"/>
      <c r="L73" s="227"/>
      <c r="M73" s="228"/>
      <c r="N73" s="229"/>
      <c r="O73" s="5"/>
    </row>
    <row r="74" spans="2:15" s="19" customFormat="1" ht="34.5" hidden="1" customHeight="1" outlineLevel="1" thickTop="1" thickBot="1">
      <c r="B74" s="25"/>
      <c r="C74" s="295" t="s">
        <v>3</v>
      </c>
      <c r="D74" s="279"/>
      <c r="E74" s="300">
        <f>SUM(E59:F73)</f>
        <v>0</v>
      </c>
      <c r="F74" s="301"/>
      <c r="G74" s="330">
        <f>SUM(G59:H73)</f>
        <v>0</v>
      </c>
      <c r="H74" s="301"/>
      <c r="I74" s="208"/>
      <c r="J74" s="208"/>
      <c r="K74" s="330">
        <f>SUM(K59:L73)</f>
        <v>0</v>
      </c>
      <c r="L74" s="301"/>
      <c r="M74" s="330">
        <f>SUM(M59:N73)</f>
        <v>0</v>
      </c>
      <c r="N74" s="332"/>
      <c r="O74" s="26"/>
    </row>
    <row r="75" spans="2:15" s="3" customFormat="1" ht="13.5" hidden="1" outlineLevel="1">
      <c r="B75" s="4"/>
      <c r="C75" s="6" t="s">
        <v>22</v>
      </c>
      <c r="D75" s="6"/>
      <c r="O75" s="5"/>
    </row>
    <row r="76" spans="2:15" s="3" customFormat="1" ht="13.5" hidden="1" outlineLevel="1">
      <c r="B76" s="4"/>
      <c r="C76" s="3" t="s">
        <v>23</v>
      </c>
      <c r="O76" s="5"/>
    </row>
    <row r="77" spans="2:15" s="3" customFormat="1" ht="12.75" customHeight="1" collapsed="1">
      <c r="B77" s="4"/>
      <c r="O77" s="5"/>
    </row>
    <row r="78" spans="2:15" s="3" customFormat="1" ht="14.25" customHeight="1">
      <c r="B78" s="4"/>
      <c r="C78" s="3" t="s">
        <v>289</v>
      </c>
      <c r="O78" s="5"/>
    </row>
    <row r="79" spans="2:15" s="3" customFormat="1" ht="14.25" customHeight="1" thickBot="1">
      <c r="B79" s="4"/>
      <c r="O79" s="5"/>
    </row>
    <row r="80" spans="2:15" s="3" customFormat="1" ht="34.5" customHeight="1">
      <c r="B80" s="4"/>
      <c r="C80" s="302" t="s">
        <v>67</v>
      </c>
      <c r="D80" s="303"/>
      <c r="E80" s="306" t="s">
        <v>287</v>
      </c>
      <c r="F80" s="307"/>
      <c r="G80" s="307"/>
      <c r="H80" s="307"/>
      <c r="I80" s="308"/>
      <c r="J80" s="278" t="s">
        <v>288</v>
      </c>
      <c r="K80" s="314" t="s">
        <v>61</v>
      </c>
      <c r="L80" s="278"/>
      <c r="M80" s="338" t="s">
        <v>60</v>
      </c>
      <c r="N80" s="344" t="s">
        <v>59</v>
      </c>
      <c r="O80" s="5"/>
    </row>
    <row r="81" spans="2:15" s="3" customFormat="1" ht="34.5" customHeight="1" thickBot="1">
      <c r="B81" s="4"/>
      <c r="C81" s="304"/>
      <c r="D81" s="305"/>
      <c r="E81" s="309" t="s">
        <v>57</v>
      </c>
      <c r="F81" s="310"/>
      <c r="G81" s="311" t="s">
        <v>58</v>
      </c>
      <c r="H81" s="310"/>
      <c r="I81" s="210" t="s">
        <v>286</v>
      </c>
      <c r="J81" s="279"/>
      <c r="K81" s="354"/>
      <c r="L81" s="355"/>
      <c r="M81" s="339"/>
      <c r="N81" s="345"/>
      <c r="O81" s="5"/>
    </row>
    <row r="82" spans="2:15" s="3" customFormat="1" ht="34.5" customHeight="1">
      <c r="B82" s="4"/>
      <c r="C82" s="284" t="s">
        <v>33</v>
      </c>
      <c r="D82" s="44" t="s">
        <v>278</v>
      </c>
      <c r="E82" s="287"/>
      <c r="F82" s="288"/>
      <c r="G82" s="289"/>
      <c r="H82" s="290"/>
      <c r="I82" s="209">
        <f>+E82+G82</f>
        <v>0</v>
      </c>
      <c r="J82" s="212"/>
      <c r="K82" s="356">
        <f>+I82-J82</f>
        <v>0</v>
      </c>
      <c r="L82" s="357"/>
      <c r="M82" s="77"/>
      <c r="N82" s="76"/>
      <c r="O82" s="5"/>
    </row>
    <row r="83" spans="2:15" s="3" customFormat="1" ht="34.5" hidden="1" customHeight="1" outlineLevel="1">
      <c r="B83" s="4"/>
      <c r="C83" s="285"/>
      <c r="D83" s="45"/>
      <c r="E83" s="282"/>
      <c r="F83" s="283"/>
      <c r="G83" s="291"/>
      <c r="H83" s="292"/>
      <c r="I83" s="209">
        <f t="shared" ref="I83:I96" si="17">+E83+G83</f>
        <v>0</v>
      </c>
      <c r="J83" s="72"/>
      <c r="K83" s="351">
        <f t="shared" ref="K83:K96" si="18">+I83-J83</f>
        <v>0</v>
      </c>
      <c r="L83" s="351"/>
      <c r="M83" s="78"/>
      <c r="N83" s="71"/>
      <c r="O83" s="5"/>
    </row>
    <row r="84" spans="2:15" s="3" customFormat="1" ht="34.5" hidden="1" customHeight="1" outlineLevel="1">
      <c r="B84" s="4"/>
      <c r="C84" s="285"/>
      <c r="D84" s="45"/>
      <c r="E84" s="95"/>
      <c r="F84" s="72"/>
      <c r="G84" s="96"/>
      <c r="H84" s="97"/>
      <c r="I84" s="209">
        <f t="shared" si="17"/>
        <v>0</v>
      </c>
      <c r="J84" s="72"/>
      <c r="K84" s="351">
        <f t="shared" si="18"/>
        <v>0</v>
      </c>
      <c r="L84" s="351"/>
      <c r="M84" s="78"/>
      <c r="N84" s="71"/>
      <c r="O84" s="5"/>
    </row>
    <row r="85" spans="2:15" s="3" customFormat="1" ht="34.5" hidden="1" customHeight="1" outlineLevel="1">
      <c r="B85" s="4"/>
      <c r="C85" s="285"/>
      <c r="D85" s="47"/>
      <c r="E85" s="282"/>
      <c r="F85" s="283"/>
      <c r="G85" s="291"/>
      <c r="H85" s="292"/>
      <c r="I85" s="209">
        <f t="shared" si="17"/>
        <v>0</v>
      </c>
      <c r="J85" s="72"/>
      <c r="K85" s="351">
        <f t="shared" si="18"/>
        <v>0</v>
      </c>
      <c r="L85" s="351"/>
      <c r="M85" s="78"/>
      <c r="N85" s="71"/>
      <c r="O85" s="5"/>
    </row>
    <row r="86" spans="2:15" s="3" customFormat="1" ht="34.5" hidden="1" customHeight="1" outlineLevel="1">
      <c r="B86" s="4"/>
      <c r="C86" s="285"/>
      <c r="D86" s="48"/>
      <c r="E86" s="282"/>
      <c r="F86" s="283"/>
      <c r="G86" s="291"/>
      <c r="H86" s="292"/>
      <c r="I86" s="209">
        <f t="shared" si="17"/>
        <v>0</v>
      </c>
      <c r="J86" s="72"/>
      <c r="K86" s="351">
        <f t="shared" si="18"/>
        <v>0</v>
      </c>
      <c r="L86" s="351"/>
      <c r="M86" s="78"/>
      <c r="N86" s="71"/>
      <c r="O86" s="5"/>
    </row>
    <row r="87" spans="2:15" s="3" customFormat="1" ht="34.5" hidden="1" customHeight="1" outlineLevel="1" thickBot="1">
      <c r="B87" s="4"/>
      <c r="C87" s="286"/>
      <c r="D87" s="50"/>
      <c r="E87" s="282"/>
      <c r="F87" s="283"/>
      <c r="G87" s="291"/>
      <c r="H87" s="292"/>
      <c r="I87" s="209">
        <f t="shared" si="17"/>
        <v>0</v>
      </c>
      <c r="J87" s="72"/>
      <c r="K87" s="351">
        <f t="shared" si="18"/>
        <v>0</v>
      </c>
      <c r="L87" s="351"/>
      <c r="M87" s="78"/>
      <c r="N87" s="71"/>
      <c r="O87" s="5"/>
    </row>
    <row r="88" spans="2:15" s="3" customFormat="1" ht="34.5" customHeight="1" collapsed="1">
      <c r="B88" s="4"/>
      <c r="C88" s="105" t="s">
        <v>34</v>
      </c>
      <c r="D88" s="47" t="s">
        <v>64</v>
      </c>
      <c r="E88" s="282"/>
      <c r="F88" s="283"/>
      <c r="G88" s="291"/>
      <c r="H88" s="292"/>
      <c r="I88" s="209">
        <f t="shared" si="17"/>
        <v>0</v>
      </c>
      <c r="J88" s="72"/>
      <c r="K88" s="351">
        <f t="shared" si="18"/>
        <v>0</v>
      </c>
      <c r="L88" s="351"/>
      <c r="M88" s="78"/>
      <c r="N88" s="71"/>
      <c r="O88" s="5"/>
    </row>
    <row r="89" spans="2:15" s="3" customFormat="1" ht="34.5" customHeight="1">
      <c r="B89" s="4"/>
      <c r="C89" s="174"/>
      <c r="D89" s="47" t="s">
        <v>40</v>
      </c>
      <c r="E89" s="282"/>
      <c r="F89" s="283"/>
      <c r="G89" s="291"/>
      <c r="H89" s="292"/>
      <c r="I89" s="209">
        <f t="shared" si="17"/>
        <v>0</v>
      </c>
      <c r="J89" s="72"/>
      <c r="K89" s="351">
        <f t="shared" si="18"/>
        <v>0</v>
      </c>
      <c r="L89" s="351"/>
      <c r="M89" s="78"/>
      <c r="N89" s="71"/>
      <c r="O89" s="5"/>
    </row>
    <row r="90" spans="2:15" s="3" customFormat="1" ht="34.5" customHeight="1">
      <c r="B90" s="4"/>
      <c r="C90" s="174"/>
      <c r="D90" s="47" t="s">
        <v>41</v>
      </c>
      <c r="E90" s="282"/>
      <c r="F90" s="283"/>
      <c r="G90" s="291"/>
      <c r="H90" s="292"/>
      <c r="I90" s="209">
        <f t="shared" si="17"/>
        <v>0</v>
      </c>
      <c r="J90" s="72"/>
      <c r="K90" s="351">
        <f t="shared" si="18"/>
        <v>0</v>
      </c>
      <c r="L90" s="351"/>
      <c r="M90" s="78"/>
      <c r="N90" s="71"/>
      <c r="O90" s="5"/>
    </row>
    <row r="91" spans="2:15" s="3" customFormat="1" ht="34.5" customHeight="1">
      <c r="B91" s="4"/>
      <c r="C91" s="174"/>
      <c r="D91" s="47" t="s">
        <v>42</v>
      </c>
      <c r="E91" s="282"/>
      <c r="F91" s="283"/>
      <c r="G91" s="291"/>
      <c r="H91" s="292"/>
      <c r="I91" s="209">
        <f t="shared" si="17"/>
        <v>0</v>
      </c>
      <c r="J91" s="72"/>
      <c r="K91" s="351">
        <f t="shared" si="18"/>
        <v>0</v>
      </c>
      <c r="L91" s="351"/>
      <c r="M91" s="78"/>
      <c r="N91" s="71"/>
      <c r="O91" s="5"/>
    </row>
    <row r="92" spans="2:15" s="3" customFormat="1" ht="34.5" hidden="1" customHeight="1" outlineLevel="1">
      <c r="B92" s="4"/>
      <c r="C92" s="174"/>
      <c r="D92" s="48"/>
      <c r="E92" s="282"/>
      <c r="F92" s="283"/>
      <c r="G92" s="291"/>
      <c r="H92" s="292"/>
      <c r="I92" s="209">
        <f t="shared" si="17"/>
        <v>0</v>
      </c>
      <c r="J92" s="72"/>
      <c r="K92" s="351">
        <f t="shared" si="18"/>
        <v>0</v>
      </c>
      <c r="L92" s="351"/>
      <c r="M92" s="78"/>
      <c r="N92" s="71"/>
      <c r="O92" s="5"/>
    </row>
    <row r="93" spans="2:15" s="3" customFormat="1" ht="34.5" customHeight="1" collapsed="1" thickBot="1">
      <c r="B93" s="4"/>
      <c r="C93" s="175"/>
      <c r="D93" s="50" t="s">
        <v>44</v>
      </c>
      <c r="E93" s="282"/>
      <c r="F93" s="283"/>
      <c r="G93" s="291"/>
      <c r="H93" s="292"/>
      <c r="I93" s="209">
        <f t="shared" si="17"/>
        <v>0</v>
      </c>
      <c r="J93" s="72"/>
      <c r="K93" s="351">
        <f t="shared" si="18"/>
        <v>0</v>
      </c>
      <c r="L93" s="351"/>
      <c r="M93" s="78"/>
      <c r="N93" s="71"/>
      <c r="O93" s="5"/>
    </row>
    <row r="94" spans="2:15" s="3" customFormat="1" ht="34.5" hidden="1" customHeight="1" outlineLevel="1" thickTop="1">
      <c r="B94" s="4"/>
      <c r="C94" s="174"/>
      <c r="D94" s="176"/>
      <c r="E94" s="282"/>
      <c r="F94" s="283"/>
      <c r="G94" s="291"/>
      <c r="H94" s="292"/>
      <c r="I94" s="209">
        <f t="shared" si="17"/>
        <v>0</v>
      </c>
      <c r="J94" s="72"/>
      <c r="K94" s="351">
        <f t="shared" si="18"/>
        <v>0</v>
      </c>
      <c r="L94" s="351"/>
      <c r="M94" s="78"/>
      <c r="N94" s="71"/>
      <c r="O94" s="5"/>
    </row>
    <row r="95" spans="2:15" s="3" customFormat="1" ht="34.5" hidden="1" customHeight="1" outlineLevel="1">
      <c r="B95" s="4"/>
      <c r="C95" s="174"/>
      <c r="D95" s="48"/>
      <c r="E95" s="282"/>
      <c r="F95" s="283"/>
      <c r="G95" s="291"/>
      <c r="H95" s="292"/>
      <c r="I95" s="209">
        <f t="shared" si="17"/>
        <v>0</v>
      </c>
      <c r="J95" s="72"/>
      <c r="K95" s="351">
        <f t="shared" si="18"/>
        <v>0</v>
      </c>
      <c r="L95" s="351"/>
      <c r="M95" s="78"/>
      <c r="N95" s="71"/>
      <c r="O95" s="5"/>
    </row>
    <row r="96" spans="2:15" s="3" customFormat="1" ht="34.5" hidden="1" customHeight="1" outlineLevel="1" thickBot="1">
      <c r="B96" s="4"/>
      <c r="C96" s="175"/>
      <c r="D96" s="50"/>
      <c r="E96" s="282"/>
      <c r="F96" s="283"/>
      <c r="G96" s="291"/>
      <c r="H96" s="292"/>
      <c r="I96" s="209">
        <f t="shared" si="17"/>
        <v>0</v>
      </c>
      <c r="J96" s="73"/>
      <c r="K96" s="352">
        <f t="shared" si="18"/>
        <v>0</v>
      </c>
      <c r="L96" s="353"/>
      <c r="M96" s="79"/>
      <c r="N96" s="75"/>
      <c r="O96" s="5"/>
    </row>
    <row r="97" spans="2:15" s="3" customFormat="1" ht="34.5" customHeight="1" collapsed="1" thickTop="1" thickBot="1">
      <c r="B97" s="4"/>
      <c r="C97" s="295" t="s">
        <v>3</v>
      </c>
      <c r="D97" s="279"/>
      <c r="E97" s="300">
        <f>SUM(E82:F96)</f>
        <v>0</v>
      </c>
      <c r="F97" s="301"/>
      <c r="G97" s="300">
        <f>SUM(G82:H96)</f>
        <v>0</v>
      </c>
      <c r="H97" s="301"/>
      <c r="I97" s="208">
        <f>SUM(I82:I96)</f>
        <v>0</v>
      </c>
      <c r="J97" s="208">
        <f>SUM(J82:J96)</f>
        <v>0</v>
      </c>
      <c r="K97" s="330">
        <f>+I97-J97</f>
        <v>0</v>
      </c>
      <c r="L97" s="301"/>
      <c r="M97" s="80"/>
      <c r="N97" s="74"/>
      <c r="O97" s="5"/>
    </row>
    <row r="98" spans="2:15" s="3" customFormat="1" ht="34.5" customHeight="1" thickBot="1">
      <c r="B98" s="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9"/>
    </row>
    <row r="99" spans="2:15" s="3" customFormat="1" ht="13.5"/>
    <row r="100" spans="2:15" s="3" customFormat="1" ht="17.25" customHeight="1">
      <c r="C100" s="10"/>
      <c r="D100" s="10"/>
    </row>
    <row r="112" spans="2:15">
      <c r="F112" s="94"/>
    </row>
    <row r="113" spans="6:6">
      <c r="F113" s="94"/>
    </row>
    <row r="114" spans="6:6">
      <c r="F114" s="94"/>
    </row>
  </sheetData>
  <protectedRanges>
    <protectedRange sqref="C3:D3 E8:F13 K24 K51:N52 K45 E33:F44 E17:F23 E51:I52 E59:N73 E82:I96" name="범위3"/>
    <protectedRange sqref="J82:N82 J83:J96 M83:N96 K83:L97" name="범위3_1_1"/>
    <protectedRange sqref="E15:F16" name="범위3_2"/>
  </protectedRanges>
  <mergeCells count="153">
    <mergeCell ref="K92:L92"/>
    <mergeCell ref="M74:N74"/>
    <mergeCell ref="M68:N68"/>
    <mergeCell ref="M64:N64"/>
    <mergeCell ref="M66:N66"/>
    <mergeCell ref="K93:L93"/>
    <mergeCell ref="K94:L94"/>
    <mergeCell ref="K96:L96"/>
    <mergeCell ref="K97:L97"/>
    <mergeCell ref="K80:L81"/>
    <mergeCell ref="K89:L89"/>
    <mergeCell ref="K90:L90"/>
    <mergeCell ref="K91:L91"/>
    <mergeCell ref="K95:L95"/>
    <mergeCell ref="K82:L82"/>
    <mergeCell ref="K83:L83"/>
    <mergeCell ref="K85:L85"/>
    <mergeCell ref="K86:L86"/>
    <mergeCell ref="K87:L87"/>
    <mergeCell ref="K88:L88"/>
    <mergeCell ref="K84:L84"/>
    <mergeCell ref="M65:N65"/>
    <mergeCell ref="K64:L64"/>
    <mergeCell ref="M67:N67"/>
    <mergeCell ref="M80:M81"/>
    <mergeCell ref="N80:N81"/>
    <mergeCell ref="G67:H67"/>
    <mergeCell ref="G74:H74"/>
    <mergeCell ref="J80:J81"/>
    <mergeCell ref="G53:H53"/>
    <mergeCell ref="J57:N57"/>
    <mergeCell ref="E57:I57"/>
    <mergeCell ref="K68:L68"/>
    <mergeCell ref="K66:L66"/>
    <mergeCell ref="K67:L67"/>
    <mergeCell ref="K63:L63"/>
    <mergeCell ref="K74:L74"/>
    <mergeCell ref="M59:N59"/>
    <mergeCell ref="M61:N61"/>
    <mergeCell ref="M63:N63"/>
    <mergeCell ref="K61:L61"/>
    <mergeCell ref="K60:L60"/>
    <mergeCell ref="M60:N60"/>
    <mergeCell ref="E59:F59"/>
    <mergeCell ref="G59:H59"/>
    <mergeCell ref="E61:F61"/>
    <mergeCell ref="E74:F74"/>
    <mergeCell ref="K59:L59"/>
    <mergeCell ref="M52:N52"/>
    <mergeCell ref="M53:N53"/>
    <mergeCell ref="L6:L7"/>
    <mergeCell ref="J6:J7"/>
    <mergeCell ref="G49:H50"/>
    <mergeCell ref="C49:D50"/>
    <mergeCell ref="C53:D53"/>
    <mergeCell ref="C52:D52"/>
    <mergeCell ref="C51:D51"/>
    <mergeCell ref="G52:H52"/>
    <mergeCell ref="E52:F52"/>
    <mergeCell ref="G51:H51"/>
    <mergeCell ref="E51:F51"/>
    <mergeCell ref="I49:I50"/>
    <mergeCell ref="I6:I7"/>
    <mergeCell ref="I31:I32"/>
    <mergeCell ref="N31:N32"/>
    <mergeCell ref="C45:D45"/>
    <mergeCell ref="C31:D32"/>
    <mergeCell ref="E31:H31"/>
    <mergeCell ref="J31:J32"/>
    <mergeCell ref="K31:K32"/>
    <mergeCell ref="C39:C40"/>
    <mergeCell ref="C15:C24"/>
    <mergeCell ref="G58:H58"/>
    <mergeCell ref="E49:F50"/>
    <mergeCell ref="C34:C37"/>
    <mergeCell ref="E58:F58"/>
    <mergeCell ref="K6:K7"/>
    <mergeCell ref="E53:F53"/>
    <mergeCell ref="K52:L52"/>
    <mergeCell ref="K53:L53"/>
    <mergeCell ref="C57:D58"/>
    <mergeCell ref="E64:F64"/>
    <mergeCell ref="E60:F60"/>
    <mergeCell ref="E63:F63"/>
    <mergeCell ref="E68:F68"/>
    <mergeCell ref="E66:F66"/>
    <mergeCell ref="E65:F65"/>
    <mergeCell ref="G68:H68"/>
    <mergeCell ref="C1:N1"/>
    <mergeCell ref="C2:N2"/>
    <mergeCell ref="M6:M7"/>
    <mergeCell ref="E6:H6"/>
    <mergeCell ref="M58:N58"/>
    <mergeCell ref="K58:L58"/>
    <mergeCell ref="K49:N49"/>
    <mergeCell ref="K50:L50"/>
    <mergeCell ref="M50:N50"/>
    <mergeCell ref="K51:L51"/>
    <mergeCell ref="M51:N51"/>
    <mergeCell ref="N6:N7"/>
    <mergeCell ref="J49:J50"/>
    <mergeCell ref="C6:D7"/>
    <mergeCell ref="C8:C14"/>
    <mergeCell ref="C25:D25"/>
    <mergeCell ref="E90:F90"/>
    <mergeCell ref="G90:H90"/>
    <mergeCell ref="G88:H88"/>
    <mergeCell ref="E89:F89"/>
    <mergeCell ref="G89:H89"/>
    <mergeCell ref="C80:D81"/>
    <mergeCell ref="E80:I80"/>
    <mergeCell ref="E81:F81"/>
    <mergeCell ref="G81:H81"/>
    <mergeCell ref="E88:F88"/>
    <mergeCell ref="E91:F91"/>
    <mergeCell ref="G91:H91"/>
    <mergeCell ref="C97:D97"/>
    <mergeCell ref="E97:F97"/>
    <mergeCell ref="G97:H97"/>
    <mergeCell ref="G92:H92"/>
    <mergeCell ref="G93:H93"/>
    <mergeCell ref="G94:H94"/>
    <mergeCell ref="G95:H95"/>
    <mergeCell ref="G96:H96"/>
    <mergeCell ref="E92:F92"/>
    <mergeCell ref="E93:F93"/>
    <mergeCell ref="E94:F94"/>
    <mergeCell ref="E95:F95"/>
    <mergeCell ref="E96:F96"/>
    <mergeCell ref="L31:L32"/>
    <mergeCell ref="M31:M32"/>
    <mergeCell ref="E87:F87"/>
    <mergeCell ref="C82:C87"/>
    <mergeCell ref="E82:F82"/>
    <mergeCell ref="G82:H82"/>
    <mergeCell ref="E83:F83"/>
    <mergeCell ref="G83:H83"/>
    <mergeCell ref="E85:F85"/>
    <mergeCell ref="G85:H85"/>
    <mergeCell ref="E86:F86"/>
    <mergeCell ref="G86:H86"/>
    <mergeCell ref="G60:H60"/>
    <mergeCell ref="G63:H63"/>
    <mergeCell ref="G64:H64"/>
    <mergeCell ref="G66:H66"/>
    <mergeCell ref="G65:H65"/>
    <mergeCell ref="G61:H61"/>
    <mergeCell ref="C74:D74"/>
    <mergeCell ref="C65:C73"/>
    <mergeCell ref="C59:C64"/>
    <mergeCell ref="E67:F67"/>
    <mergeCell ref="K65:L65"/>
    <mergeCell ref="G87:H87"/>
  </mergeCells>
  <phoneticPr fontId="1" type="noConversion"/>
  <conditionalFormatting sqref="M8:M25 M33:M45">
    <cfRule type="dataBar" priority="2">
      <dataBar>
        <cfvo type="num" val="0"/>
        <cfvo type="num" val="1"/>
        <color theme="3" tint="0.39997558519241921"/>
      </dataBar>
      <extLst>
        <ext xmlns:x14="http://schemas.microsoft.com/office/spreadsheetml/2009/9/main" uri="{B025F937-C7B1-47D3-B67F-A62EFF666E3E}">
          <x14:id>{DDD29625-C7D6-445E-BB48-B8D19F722AE4}</x14:id>
        </ext>
      </extLst>
    </cfRule>
  </conditionalFormatting>
  <conditionalFormatting sqref="T15:T16">
    <cfRule type="containsText" dxfId="1" priority="3" operator="containsText" text="FALSE">
      <formula>NOT(ISERROR(SEARCH("FALSE",T15)))</formula>
    </cfRule>
    <cfRule type="containsText" dxfId="0" priority="4" operator="containsText" text="TRUE">
      <formula>NOT(ISERROR(SEARCH("TRUE",T15)))</formula>
    </cfRule>
  </conditionalFormatting>
  <pageMargins left="0.7" right="0.7" top="0.75" bottom="0.75" header="0.3" footer="0.3"/>
  <pageSetup paperSize="9" scale="23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D29625-C7D6-445E-BB48-B8D19F722AE4}">
            <x14:dataBar minLength="0" maxLength="100" direction="leftToRight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M8:M25 M33:M45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9AE63-FACF-409E-B5B0-FBC7D0D04D29}">
  <sheetPr>
    <tabColor theme="7" tint="0.59999389629810485"/>
  </sheetPr>
  <dimension ref="B2:Q320"/>
  <sheetViews>
    <sheetView showGridLines="0" zoomScale="90" zoomScaleNormal="90" workbookViewId="0">
      <pane xSplit="12" ySplit="7" topLeftCell="M8" activePane="bottomRight" state="frozen"/>
      <selection pane="topRight" activeCell="L1" sqref="L1"/>
      <selection pane="bottomLeft" activeCell="A8" sqref="A8"/>
      <selection pane="bottomRight" activeCell="E14" sqref="E14"/>
    </sheetView>
  </sheetViews>
  <sheetFormatPr defaultColWidth="9" defaultRowHeight="16.5" outlineLevelCol="1"/>
  <cols>
    <col min="1" max="1" width="3" style="115" customWidth="1"/>
    <col min="2" max="2" width="10.5" style="115" hidden="1" customWidth="1" outlineLevel="1"/>
    <col min="3" max="3" width="9" style="115" collapsed="1"/>
    <col min="4" max="4" width="11.625" style="115" bestFit="1" customWidth="1"/>
    <col min="5" max="5" width="39.875" style="115" customWidth="1"/>
    <col min="6" max="6" width="13.875" style="115" bestFit="1" customWidth="1"/>
    <col min="7" max="7" width="13.875" style="115" customWidth="1"/>
    <col min="8" max="8" width="54.875" style="115" bestFit="1" customWidth="1"/>
    <col min="9" max="9" width="21.875" style="115" customWidth="1"/>
    <col min="10" max="11" width="13.25" style="115" customWidth="1"/>
    <col min="12" max="12" width="3.75" style="115" customWidth="1"/>
    <col min="13" max="13" width="20.375" style="115" customWidth="1"/>
    <col min="14" max="16384" width="9" style="115"/>
  </cols>
  <sheetData>
    <row r="2" spans="2:17" ht="21" thickBot="1">
      <c r="C2" s="362" t="s">
        <v>277</v>
      </c>
      <c r="D2" s="362"/>
      <c r="E2" s="362"/>
      <c r="F2" s="362"/>
      <c r="G2" s="362"/>
      <c r="H2" s="362"/>
      <c r="J2" s="129" t="s">
        <v>219</v>
      </c>
      <c r="K2" s="132">
        <f>+'사업비 사용실적 명세서'!G8</f>
        <v>900000</v>
      </c>
      <c r="M2" s="107" t="s">
        <v>317</v>
      </c>
      <c r="N2" s="256"/>
      <c r="O2" s="256"/>
      <c r="P2" s="256"/>
      <c r="Q2" s="256"/>
    </row>
    <row r="3" spans="2:17" ht="17.25" thickBot="1">
      <c r="C3" s="362"/>
      <c r="D3" s="362"/>
      <c r="E3" s="362"/>
      <c r="F3" s="362"/>
      <c r="G3" s="362"/>
      <c r="H3" s="362"/>
      <c r="J3" s="130" t="s">
        <v>220</v>
      </c>
      <c r="K3" s="133">
        <f>+'사업비 사용실적 명세서'!I8</f>
        <v>1550000</v>
      </c>
      <c r="L3" s="135">
        <f>+J7-K3</f>
        <v>0</v>
      </c>
      <c r="M3" s="257" t="s">
        <v>306</v>
      </c>
      <c r="N3" s="367" t="s">
        <v>307</v>
      </c>
      <c r="O3" s="367"/>
      <c r="P3" s="367"/>
      <c r="Q3" s="368"/>
    </row>
    <row r="4" spans="2:17" ht="21" thickBot="1">
      <c r="C4" s="107"/>
      <c r="J4" s="131" t="s">
        <v>221</v>
      </c>
      <c r="K4" s="134">
        <f>+K2-K3</f>
        <v>-650000</v>
      </c>
      <c r="M4" s="258" t="s">
        <v>308</v>
      </c>
      <c r="N4" s="369" t="s">
        <v>309</v>
      </c>
      <c r="O4" s="369"/>
      <c r="P4" s="369"/>
      <c r="Q4" s="370"/>
    </row>
    <row r="5" spans="2:17" ht="21" thickBot="1">
      <c r="C5" s="107"/>
      <c r="M5" s="258" t="s">
        <v>310</v>
      </c>
      <c r="N5" s="369" t="s">
        <v>311</v>
      </c>
      <c r="O5" s="369"/>
      <c r="P5" s="369"/>
      <c r="Q5" s="370"/>
    </row>
    <row r="6" spans="2:17" ht="33" customHeight="1">
      <c r="C6" s="363" t="s">
        <v>218</v>
      </c>
      <c r="D6" s="365" t="s">
        <v>13</v>
      </c>
      <c r="E6" s="365" t="s">
        <v>280</v>
      </c>
      <c r="F6" s="358" t="s">
        <v>290</v>
      </c>
      <c r="G6" s="358" t="s">
        <v>279</v>
      </c>
      <c r="H6" s="358" t="s">
        <v>46</v>
      </c>
      <c r="I6" s="358" t="s">
        <v>196</v>
      </c>
      <c r="J6" s="116" t="s">
        <v>291</v>
      </c>
      <c r="K6" s="360" t="s">
        <v>207</v>
      </c>
      <c r="M6" s="258" t="s">
        <v>312</v>
      </c>
      <c r="N6" s="369" t="s">
        <v>313</v>
      </c>
      <c r="O6" s="369"/>
      <c r="P6" s="369"/>
      <c r="Q6" s="370"/>
    </row>
    <row r="7" spans="2:17" ht="18" thickBot="1">
      <c r="C7" s="364"/>
      <c r="D7" s="366"/>
      <c r="E7" s="366"/>
      <c r="F7" s="359"/>
      <c r="G7" s="359"/>
      <c r="H7" s="359"/>
      <c r="I7" s="359"/>
      <c r="J7" s="243">
        <f>SUM(J8:J50000)</f>
        <v>1550000</v>
      </c>
      <c r="K7" s="361"/>
      <c r="M7" s="258" t="s">
        <v>314</v>
      </c>
      <c r="N7" s="369" t="s">
        <v>315</v>
      </c>
      <c r="O7" s="369"/>
      <c r="P7" s="369"/>
      <c r="Q7" s="370"/>
    </row>
    <row r="8" spans="2:17" ht="17.25" thickBot="1">
      <c r="B8" s="115" t="str">
        <f>CONCATENATE(E8,G8)</f>
        <v>제작소특화프로그램 - 멘토링홍길동</v>
      </c>
      <c r="C8" s="236">
        <v>1</v>
      </c>
      <c r="D8" s="263">
        <v>45383</v>
      </c>
      <c r="E8" s="264" t="s">
        <v>353</v>
      </c>
      <c r="F8" s="265" t="s">
        <v>197</v>
      </c>
      <c r="G8" s="265" t="s">
        <v>319</v>
      </c>
      <c r="H8" s="265" t="s">
        <v>198</v>
      </c>
      <c r="I8" s="266" t="s">
        <v>199</v>
      </c>
      <c r="J8" s="267">
        <v>100000</v>
      </c>
      <c r="K8" s="268"/>
      <c r="M8" s="259" t="s">
        <v>316</v>
      </c>
      <c r="N8" s="260"/>
      <c r="O8" s="260"/>
      <c r="P8" s="260"/>
      <c r="Q8" s="261"/>
    </row>
    <row r="9" spans="2:17">
      <c r="B9" s="115" t="str">
        <f t="shared" ref="B9:B72" si="0">CONCATENATE(E9,G9)</f>
        <v>자기발견                - 마음건강홍길순</v>
      </c>
      <c r="C9" s="117">
        <v>2</v>
      </c>
      <c r="D9" s="269">
        <v>45413</v>
      </c>
      <c r="E9" s="264" t="s">
        <v>344</v>
      </c>
      <c r="F9" s="270" t="s">
        <v>200</v>
      </c>
      <c r="G9" s="265" t="s">
        <v>320</v>
      </c>
      <c r="H9" s="271" t="s">
        <v>201</v>
      </c>
      <c r="I9" s="272" t="s">
        <v>199</v>
      </c>
      <c r="J9" s="273">
        <v>50000</v>
      </c>
      <c r="K9" s="274"/>
      <c r="M9" s="262" t="s">
        <v>318</v>
      </c>
      <c r="N9" s="256"/>
      <c r="O9" s="256"/>
      <c r="P9" s="256"/>
      <c r="Q9" s="256"/>
    </row>
    <row r="10" spans="2:17">
      <c r="B10" s="115" t="str">
        <f t="shared" si="0"/>
        <v>제작소특화프로그램 - 소그룹 커뮤니티홍길순</v>
      </c>
      <c r="C10" s="117">
        <v>3</v>
      </c>
      <c r="D10" s="275"/>
      <c r="E10" s="264" t="s">
        <v>342</v>
      </c>
      <c r="F10" s="270"/>
      <c r="G10" s="265" t="s">
        <v>320</v>
      </c>
      <c r="H10" s="271"/>
      <c r="I10" s="272"/>
      <c r="J10" s="273">
        <v>500000</v>
      </c>
      <c r="K10" s="274"/>
    </row>
    <row r="11" spans="2:17">
      <c r="B11" s="115" t="str">
        <f t="shared" si="0"/>
        <v>홍길순</v>
      </c>
      <c r="C11" s="117">
        <v>4</v>
      </c>
      <c r="D11" s="275"/>
      <c r="E11" s="264"/>
      <c r="F11" s="270"/>
      <c r="G11" s="265" t="s">
        <v>320</v>
      </c>
      <c r="H11" s="271"/>
      <c r="I11" s="272"/>
      <c r="J11" s="273">
        <v>900000</v>
      </c>
      <c r="K11" s="274"/>
    </row>
    <row r="12" spans="2:17">
      <c r="B12" s="115" t="str">
        <f t="shared" si="0"/>
        <v/>
      </c>
      <c r="C12" s="117">
        <v>5</v>
      </c>
      <c r="D12" s="124"/>
      <c r="E12" s="264"/>
      <c r="F12" s="120"/>
      <c r="G12" s="238"/>
      <c r="H12" s="123"/>
      <c r="I12" s="119"/>
      <c r="J12" s="121"/>
      <c r="K12" s="122"/>
    </row>
    <row r="13" spans="2:17">
      <c r="B13" s="115" t="str">
        <f t="shared" si="0"/>
        <v/>
      </c>
      <c r="C13" s="117">
        <v>6</v>
      </c>
      <c r="D13" s="124"/>
      <c r="E13" s="264"/>
      <c r="F13" s="120"/>
      <c r="G13" s="238"/>
      <c r="H13" s="123"/>
      <c r="I13" s="119"/>
      <c r="J13" s="121"/>
      <c r="K13" s="122"/>
    </row>
    <row r="14" spans="2:17">
      <c r="B14" s="115" t="str">
        <f t="shared" si="0"/>
        <v/>
      </c>
      <c r="C14" s="117">
        <v>7</v>
      </c>
      <c r="D14" s="124"/>
      <c r="E14" s="264"/>
      <c r="F14" s="120"/>
      <c r="G14" s="238"/>
      <c r="H14" s="123"/>
      <c r="I14" s="119"/>
      <c r="J14" s="121"/>
      <c r="K14" s="122"/>
    </row>
    <row r="15" spans="2:17">
      <c r="B15" s="115" t="str">
        <f t="shared" si="0"/>
        <v/>
      </c>
      <c r="C15" s="117">
        <v>8</v>
      </c>
      <c r="D15" s="124"/>
      <c r="E15" s="264"/>
      <c r="F15" s="120"/>
      <c r="G15" s="238"/>
      <c r="H15" s="123"/>
      <c r="I15" s="119"/>
      <c r="J15" s="121"/>
      <c r="K15" s="122"/>
    </row>
    <row r="16" spans="2:17">
      <c r="B16" s="115" t="str">
        <f t="shared" si="0"/>
        <v/>
      </c>
      <c r="C16" s="117">
        <v>9</v>
      </c>
      <c r="D16" s="124"/>
      <c r="E16" s="264"/>
      <c r="F16" s="120"/>
      <c r="G16" s="238"/>
      <c r="H16" s="123"/>
      <c r="I16" s="119"/>
      <c r="J16" s="121"/>
      <c r="K16" s="122"/>
    </row>
    <row r="17" spans="2:11">
      <c r="B17" s="115" t="str">
        <f t="shared" si="0"/>
        <v/>
      </c>
      <c r="C17" s="117">
        <v>10</v>
      </c>
      <c r="D17" s="124"/>
      <c r="E17" s="264"/>
      <c r="F17" s="120"/>
      <c r="G17" s="238"/>
      <c r="H17" s="123"/>
      <c r="I17" s="119"/>
      <c r="J17" s="121"/>
      <c r="K17" s="122"/>
    </row>
    <row r="18" spans="2:11">
      <c r="B18" s="115" t="str">
        <f t="shared" si="0"/>
        <v/>
      </c>
      <c r="C18" s="117">
        <v>11</v>
      </c>
      <c r="D18" s="124"/>
      <c r="E18" s="264"/>
      <c r="F18" s="120"/>
      <c r="G18" s="238"/>
      <c r="H18" s="123"/>
      <c r="I18" s="119"/>
      <c r="J18" s="121"/>
      <c r="K18" s="122"/>
    </row>
    <row r="19" spans="2:11">
      <c r="B19" s="115" t="str">
        <f t="shared" si="0"/>
        <v/>
      </c>
      <c r="C19" s="117">
        <v>12</v>
      </c>
      <c r="D19" s="124"/>
      <c r="E19" s="264"/>
      <c r="F19" s="120"/>
      <c r="G19" s="238"/>
      <c r="H19" s="123"/>
      <c r="I19" s="119"/>
      <c r="J19" s="121"/>
      <c r="K19" s="122"/>
    </row>
    <row r="20" spans="2:11">
      <c r="B20" s="115" t="str">
        <f t="shared" si="0"/>
        <v/>
      </c>
      <c r="C20" s="117">
        <v>13</v>
      </c>
      <c r="D20" s="124"/>
      <c r="E20" s="264"/>
      <c r="F20" s="120"/>
      <c r="G20" s="238"/>
      <c r="H20" s="123"/>
      <c r="I20" s="119"/>
      <c r="J20" s="121"/>
      <c r="K20" s="122"/>
    </row>
    <row r="21" spans="2:11">
      <c r="B21" s="115" t="str">
        <f t="shared" si="0"/>
        <v/>
      </c>
      <c r="C21" s="117">
        <v>14</v>
      </c>
      <c r="D21" s="124"/>
      <c r="E21" s="264"/>
      <c r="F21" s="120"/>
      <c r="G21" s="238"/>
      <c r="H21" s="123"/>
      <c r="I21" s="119"/>
      <c r="J21" s="121"/>
      <c r="K21" s="122"/>
    </row>
    <row r="22" spans="2:11">
      <c r="B22" s="115" t="str">
        <f t="shared" si="0"/>
        <v/>
      </c>
      <c r="C22" s="117">
        <v>15</v>
      </c>
      <c r="D22" s="124"/>
      <c r="E22" s="264"/>
      <c r="F22" s="120"/>
      <c r="G22" s="238"/>
      <c r="H22" s="123"/>
      <c r="I22" s="119"/>
      <c r="J22" s="121"/>
      <c r="K22" s="122"/>
    </row>
    <row r="23" spans="2:11">
      <c r="B23" s="115" t="str">
        <f t="shared" si="0"/>
        <v/>
      </c>
      <c r="C23" s="117">
        <v>16</v>
      </c>
      <c r="D23" s="124"/>
      <c r="E23" s="264"/>
      <c r="F23" s="120"/>
      <c r="G23" s="238"/>
      <c r="H23" s="123"/>
      <c r="I23" s="119"/>
      <c r="J23" s="121"/>
      <c r="K23" s="122"/>
    </row>
    <row r="24" spans="2:11">
      <c r="B24" s="115" t="str">
        <f t="shared" si="0"/>
        <v/>
      </c>
      <c r="C24" s="117">
        <v>17</v>
      </c>
      <c r="D24" s="124"/>
      <c r="E24" s="264"/>
      <c r="F24" s="120"/>
      <c r="G24" s="238"/>
      <c r="H24" s="123"/>
      <c r="I24" s="119"/>
      <c r="J24" s="121"/>
      <c r="K24" s="122"/>
    </row>
    <row r="25" spans="2:11">
      <c r="B25" s="115" t="str">
        <f t="shared" si="0"/>
        <v/>
      </c>
      <c r="C25" s="117">
        <v>18</v>
      </c>
      <c r="D25" s="124"/>
      <c r="E25" s="264"/>
      <c r="F25" s="120"/>
      <c r="G25" s="238"/>
      <c r="H25" s="123"/>
      <c r="I25" s="119"/>
      <c r="J25" s="121"/>
      <c r="K25" s="122"/>
    </row>
    <row r="26" spans="2:11">
      <c r="B26" s="115" t="str">
        <f t="shared" si="0"/>
        <v/>
      </c>
      <c r="C26" s="117">
        <v>19</v>
      </c>
      <c r="D26" s="124"/>
      <c r="E26" s="264"/>
      <c r="F26" s="120"/>
      <c r="G26" s="238"/>
      <c r="H26" s="123"/>
      <c r="I26" s="119"/>
      <c r="J26" s="121"/>
      <c r="K26" s="122"/>
    </row>
    <row r="27" spans="2:11">
      <c r="B27" s="115" t="str">
        <f t="shared" si="0"/>
        <v/>
      </c>
      <c r="C27" s="117">
        <v>20</v>
      </c>
      <c r="D27" s="124"/>
      <c r="E27" s="264"/>
      <c r="F27" s="120"/>
      <c r="G27" s="238"/>
      <c r="H27" s="123"/>
      <c r="I27" s="119"/>
      <c r="J27" s="121"/>
      <c r="K27" s="122"/>
    </row>
    <row r="28" spans="2:11">
      <c r="B28" s="115" t="str">
        <f t="shared" si="0"/>
        <v/>
      </c>
      <c r="C28" s="117">
        <v>21</v>
      </c>
      <c r="D28" s="124"/>
      <c r="E28" s="264"/>
      <c r="F28" s="120"/>
      <c r="G28" s="238"/>
      <c r="H28" s="123"/>
      <c r="I28" s="119"/>
      <c r="J28" s="121"/>
      <c r="K28" s="122"/>
    </row>
    <row r="29" spans="2:11">
      <c r="B29" s="115" t="str">
        <f t="shared" si="0"/>
        <v/>
      </c>
      <c r="C29" s="117">
        <v>22</v>
      </c>
      <c r="D29" s="124"/>
      <c r="E29" s="264"/>
      <c r="F29" s="120"/>
      <c r="G29" s="238"/>
      <c r="H29" s="123"/>
      <c r="I29" s="119"/>
      <c r="J29" s="121"/>
      <c r="K29" s="122"/>
    </row>
    <row r="30" spans="2:11">
      <c r="B30" s="115" t="str">
        <f t="shared" si="0"/>
        <v/>
      </c>
      <c r="C30" s="117">
        <v>23</v>
      </c>
      <c r="D30" s="124"/>
      <c r="E30" s="264"/>
      <c r="F30" s="120"/>
      <c r="G30" s="238"/>
      <c r="H30" s="123"/>
      <c r="I30" s="119"/>
      <c r="J30" s="121"/>
      <c r="K30" s="122"/>
    </row>
    <row r="31" spans="2:11">
      <c r="B31" s="115" t="str">
        <f t="shared" si="0"/>
        <v/>
      </c>
      <c r="C31" s="117">
        <v>24</v>
      </c>
      <c r="D31" s="124"/>
      <c r="E31" s="264"/>
      <c r="F31" s="120"/>
      <c r="G31" s="238"/>
      <c r="H31" s="123"/>
      <c r="I31" s="119"/>
      <c r="J31" s="121"/>
      <c r="K31" s="122"/>
    </row>
    <row r="32" spans="2:11">
      <c r="B32" s="115" t="str">
        <f t="shared" si="0"/>
        <v/>
      </c>
      <c r="C32" s="117">
        <v>25</v>
      </c>
      <c r="D32" s="124"/>
      <c r="E32" s="264"/>
      <c r="F32" s="120"/>
      <c r="G32" s="238"/>
      <c r="H32" s="123"/>
      <c r="I32" s="119"/>
      <c r="J32" s="121"/>
      <c r="K32" s="122"/>
    </row>
    <row r="33" spans="2:11">
      <c r="B33" s="115" t="str">
        <f t="shared" si="0"/>
        <v/>
      </c>
      <c r="C33" s="117">
        <v>26</v>
      </c>
      <c r="D33" s="124"/>
      <c r="E33" s="264"/>
      <c r="F33" s="120"/>
      <c r="G33" s="238"/>
      <c r="H33" s="123"/>
      <c r="I33" s="119"/>
      <c r="J33" s="121"/>
      <c r="K33" s="122"/>
    </row>
    <row r="34" spans="2:11">
      <c r="B34" s="115" t="str">
        <f t="shared" si="0"/>
        <v/>
      </c>
      <c r="C34" s="117">
        <v>27</v>
      </c>
      <c r="D34" s="124"/>
      <c r="E34" s="264"/>
      <c r="F34" s="120"/>
      <c r="G34" s="238"/>
      <c r="H34" s="123"/>
      <c r="I34" s="119"/>
      <c r="J34" s="121"/>
      <c r="K34" s="122"/>
    </row>
    <row r="35" spans="2:11">
      <c r="B35" s="115" t="str">
        <f t="shared" si="0"/>
        <v/>
      </c>
      <c r="C35" s="117">
        <v>28</v>
      </c>
      <c r="D35" s="124"/>
      <c r="E35" s="264"/>
      <c r="F35" s="120"/>
      <c r="G35" s="238"/>
      <c r="H35" s="123"/>
      <c r="I35" s="119"/>
      <c r="J35" s="121"/>
      <c r="K35" s="122"/>
    </row>
    <row r="36" spans="2:11">
      <c r="B36" s="115" t="str">
        <f t="shared" si="0"/>
        <v/>
      </c>
      <c r="C36" s="117">
        <v>29</v>
      </c>
      <c r="D36" s="124"/>
      <c r="E36" s="264"/>
      <c r="F36" s="120"/>
      <c r="G36" s="238"/>
      <c r="H36" s="123"/>
      <c r="I36" s="119"/>
      <c r="J36" s="121"/>
      <c r="K36" s="122"/>
    </row>
    <row r="37" spans="2:11">
      <c r="B37" s="115" t="str">
        <f t="shared" si="0"/>
        <v/>
      </c>
      <c r="C37" s="117">
        <v>30</v>
      </c>
      <c r="D37" s="124"/>
      <c r="E37" s="264"/>
      <c r="F37" s="120"/>
      <c r="G37" s="238"/>
      <c r="H37" s="123"/>
      <c r="I37" s="119"/>
      <c r="J37" s="121"/>
      <c r="K37" s="122"/>
    </row>
    <row r="38" spans="2:11">
      <c r="B38" s="115" t="str">
        <f t="shared" si="0"/>
        <v/>
      </c>
      <c r="C38" s="117">
        <v>31</v>
      </c>
      <c r="D38" s="124"/>
      <c r="E38" s="264"/>
      <c r="F38" s="120"/>
      <c r="G38" s="238"/>
      <c r="H38" s="123"/>
      <c r="I38" s="119"/>
      <c r="J38" s="121"/>
      <c r="K38" s="122"/>
    </row>
    <row r="39" spans="2:11">
      <c r="B39" s="115" t="str">
        <f t="shared" si="0"/>
        <v/>
      </c>
      <c r="C39" s="117">
        <v>32</v>
      </c>
      <c r="D39" s="125"/>
      <c r="E39" s="264"/>
      <c r="F39" s="126"/>
      <c r="G39" s="238"/>
      <c r="H39" s="125"/>
      <c r="I39" s="126"/>
      <c r="J39" s="127"/>
      <c r="K39" s="128"/>
    </row>
    <row r="40" spans="2:11">
      <c r="B40" s="115" t="str">
        <f t="shared" si="0"/>
        <v/>
      </c>
      <c r="C40" s="117">
        <v>33</v>
      </c>
      <c r="D40" s="125"/>
      <c r="E40" s="264"/>
      <c r="F40" s="126"/>
      <c r="G40" s="238"/>
      <c r="H40" s="125"/>
      <c r="I40" s="126"/>
      <c r="J40" s="127"/>
      <c r="K40" s="128"/>
    </row>
    <row r="41" spans="2:11">
      <c r="B41" s="115" t="str">
        <f t="shared" si="0"/>
        <v/>
      </c>
      <c r="C41" s="117">
        <v>34</v>
      </c>
      <c r="D41" s="125"/>
      <c r="E41" s="264"/>
      <c r="F41" s="126"/>
      <c r="G41" s="238"/>
      <c r="H41" s="125"/>
      <c r="I41" s="126"/>
      <c r="J41" s="127"/>
      <c r="K41" s="128"/>
    </row>
    <row r="42" spans="2:11">
      <c r="B42" s="115" t="str">
        <f t="shared" si="0"/>
        <v/>
      </c>
      <c r="C42" s="117">
        <v>35</v>
      </c>
      <c r="D42" s="125"/>
      <c r="E42" s="264"/>
      <c r="F42" s="126"/>
      <c r="G42" s="238"/>
      <c r="H42" s="125"/>
      <c r="I42" s="126"/>
      <c r="J42" s="127"/>
      <c r="K42" s="128"/>
    </row>
    <row r="43" spans="2:11">
      <c r="B43" s="115" t="str">
        <f t="shared" si="0"/>
        <v/>
      </c>
      <c r="C43" s="117">
        <v>36</v>
      </c>
      <c r="D43" s="125"/>
      <c r="E43" s="264"/>
      <c r="F43" s="126"/>
      <c r="G43" s="238"/>
      <c r="H43" s="125"/>
      <c r="I43" s="126"/>
      <c r="J43" s="127"/>
      <c r="K43" s="128"/>
    </row>
    <row r="44" spans="2:11">
      <c r="B44" s="115" t="str">
        <f t="shared" si="0"/>
        <v/>
      </c>
      <c r="C44" s="117">
        <v>37</v>
      </c>
      <c r="D44" s="125"/>
      <c r="E44" s="264"/>
      <c r="F44" s="126"/>
      <c r="G44" s="238"/>
      <c r="H44" s="125"/>
      <c r="I44" s="126"/>
      <c r="J44" s="127"/>
      <c r="K44" s="128"/>
    </row>
    <row r="45" spans="2:11">
      <c r="B45" s="115" t="str">
        <f t="shared" si="0"/>
        <v/>
      </c>
      <c r="C45" s="117">
        <v>38</v>
      </c>
      <c r="D45" s="125"/>
      <c r="E45" s="264"/>
      <c r="F45" s="126"/>
      <c r="G45" s="238"/>
      <c r="H45" s="125"/>
      <c r="I45" s="126"/>
      <c r="J45" s="127"/>
      <c r="K45" s="128"/>
    </row>
    <row r="46" spans="2:11">
      <c r="B46" s="115" t="str">
        <f t="shared" si="0"/>
        <v/>
      </c>
      <c r="C46" s="117">
        <v>39</v>
      </c>
      <c r="D46" s="125"/>
      <c r="E46" s="264"/>
      <c r="F46" s="126"/>
      <c r="G46" s="238"/>
      <c r="H46" s="125"/>
      <c r="I46" s="126"/>
      <c r="J46" s="127"/>
      <c r="K46" s="128"/>
    </row>
    <row r="47" spans="2:11">
      <c r="B47" s="115" t="str">
        <f t="shared" si="0"/>
        <v/>
      </c>
      <c r="C47" s="117">
        <v>40</v>
      </c>
      <c r="D47" s="125"/>
      <c r="E47" s="264"/>
      <c r="F47" s="126"/>
      <c r="G47" s="238"/>
      <c r="H47" s="125"/>
      <c r="I47" s="126"/>
      <c r="J47" s="127"/>
      <c r="K47" s="128"/>
    </row>
    <row r="48" spans="2:11">
      <c r="B48" s="115" t="str">
        <f t="shared" si="0"/>
        <v/>
      </c>
      <c r="C48" s="117">
        <v>41</v>
      </c>
      <c r="D48" s="125"/>
      <c r="E48" s="264"/>
      <c r="F48" s="126"/>
      <c r="G48" s="238"/>
      <c r="H48" s="125"/>
      <c r="I48" s="126"/>
      <c r="J48" s="127"/>
      <c r="K48" s="128"/>
    </row>
    <row r="49" spans="2:11">
      <c r="B49" s="115" t="str">
        <f t="shared" si="0"/>
        <v/>
      </c>
      <c r="C49" s="117">
        <v>42</v>
      </c>
      <c r="D49" s="125"/>
      <c r="E49" s="264"/>
      <c r="F49" s="126"/>
      <c r="G49" s="238"/>
      <c r="H49" s="125"/>
      <c r="I49" s="126"/>
      <c r="J49" s="127"/>
      <c r="K49" s="128"/>
    </row>
    <row r="50" spans="2:11">
      <c r="B50" s="115" t="str">
        <f t="shared" si="0"/>
        <v/>
      </c>
      <c r="C50" s="117">
        <v>43</v>
      </c>
      <c r="D50" s="125"/>
      <c r="E50" s="264"/>
      <c r="F50" s="126"/>
      <c r="G50" s="238"/>
      <c r="H50" s="125"/>
      <c r="I50" s="126"/>
      <c r="J50" s="127"/>
      <c r="K50" s="128"/>
    </row>
    <row r="51" spans="2:11">
      <c r="B51" s="115" t="str">
        <f t="shared" si="0"/>
        <v/>
      </c>
      <c r="C51" s="117">
        <v>44</v>
      </c>
      <c r="D51" s="125"/>
      <c r="E51" s="264"/>
      <c r="F51" s="126"/>
      <c r="G51" s="238"/>
      <c r="H51" s="125"/>
      <c r="I51" s="126"/>
      <c r="J51" s="127"/>
      <c r="K51" s="128"/>
    </row>
    <row r="52" spans="2:11">
      <c r="B52" s="115" t="str">
        <f t="shared" si="0"/>
        <v/>
      </c>
      <c r="C52" s="117">
        <v>45</v>
      </c>
      <c r="D52" s="125"/>
      <c r="E52" s="264"/>
      <c r="F52" s="126"/>
      <c r="G52" s="238"/>
      <c r="H52" s="125"/>
      <c r="I52" s="126"/>
      <c r="J52" s="127"/>
      <c r="K52" s="128"/>
    </row>
    <row r="53" spans="2:11">
      <c r="B53" s="115" t="str">
        <f t="shared" si="0"/>
        <v/>
      </c>
      <c r="C53" s="117">
        <v>46</v>
      </c>
      <c r="D53" s="125"/>
      <c r="E53" s="264"/>
      <c r="F53" s="126"/>
      <c r="G53" s="238"/>
      <c r="H53" s="125"/>
      <c r="I53" s="126"/>
      <c r="J53" s="127"/>
      <c r="K53" s="128"/>
    </row>
    <row r="54" spans="2:11">
      <c r="B54" s="115" t="str">
        <f t="shared" si="0"/>
        <v/>
      </c>
      <c r="C54" s="117">
        <v>47</v>
      </c>
      <c r="D54" s="125"/>
      <c r="E54" s="264"/>
      <c r="F54" s="126"/>
      <c r="G54" s="238"/>
      <c r="H54" s="125"/>
      <c r="I54" s="126"/>
      <c r="J54" s="127"/>
      <c r="K54" s="128"/>
    </row>
    <row r="55" spans="2:11">
      <c r="B55" s="115" t="str">
        <f t="shared" si="0"/>
        <v/>
      </c>
      <c r="C55" s="117">
        <v>48</v>
      </c>
      <c r="D55" s="125"/>
      <c r="E55" s="264"/>
      <c r="F55" s="126"/>
      <c r="G55" s="238"/>
      <c r="H55" s="125"/>
      <c r="I55" s="126"/>
      <c r="J55" s="127"/>
      <c r="K55" s="128"/>
    </row>
    <row r="56" spans="2:11">
      <c r="B56" s="115" t="str">
        <f t="shared" si="0"/>
        <v/>
      </c>
      <c r="C56" s="117">
        <v>49</v>
      </c>
      <c r="D56" s="125"/>
      <c r="E56" s="264"/>
      <c r="F56" s="126"/>
      <c r="G56" s="238"/>
      <c r="H56" s="125"/>
      <c r="I56" s="126"/>
      <c r="J56" s="127"/>
      <c r="K56" s="128"/>
    </row>
    <row r="57" spans="2:11">
      <c r="B57" s="115" t="str">
        <f t="shared" si="0"/>
        <v/>
      </c>
      <c r="C57" s="117">
        <v>50</v>
      </c>
      <c r="D57" s="125"/>
      <c r="E57" s="264"/>
      <c r="F57" s="126"/>
      <c r="G57" s="238"/>
      <c r="H57" s="125"/>
      <c r="I57" s="126"/>
      <c r="J57" s="127"/>
      <c r="K57" s="128"/>
    </row>
    <row r="58" spans="2:11">
      <c r="B58" s="115" t="str">
        <f t="shared" si="0"/>
        <v/>
      </c>
      <c r="C58" s="117">
        <v>51</v>
      </c>
      <c r="D58" s="125"/>
      <c r="E58" s="264"/>
      <c r="F58" s="126"/>
      <c r="G58" s="238"/>
      <c r="H58" s="125"/>
      <c r="I58" s="126"/>
      <c r="J58" s="127"/>
      <c r="K58" s="128"/>
    </row>
    <row r="59" spans="2:11">
      <c r="B59" s="115" t="str">
        <f t="shared" si="0"/>
        <v/>
      </c>
      <c r="C59" s="117">
        <v>52</v>
      </c>
      <c r="D59" s="125"/>
      <c r="E59" s="264"/>
      <c r="F59" s="126"/>
      <c r="G59" s="238"/>
      <c r="H59" s="125"/>
      <c r="I59" s="126"/>
      <c r="J59" s="127"/>
      <c r="K59" s="128"/>
    </row>
    <row r="60" spans="2:11">
      <c r="B60" s="115" t="str">
        <f t="shared" si="0"/>
        <v/>
      </c>
      <c r="C60" s="117">
        <v>53</v>
      </c>
      <c r="D60" s="125"/>
      <c r="E60" s="264"/>
      <c r="F60" s="126"/>
      <c r="G60" s="238"/>
      <c r="H60" s="125"/>
      <c r="I60" s="126"/>
      <c r="J60" s="127"/>
      <c r="K60" s="128"/>
    </row>
    <row r="61" spans="2:11">
      <c r="B61" s="115" t="str">
        <f t="shared" si="0"/>
        <v/>
      </c>
      <c r="C61" s="117">
        <v>54</v>
      </c>
      <c r="D61" s="125"/>
      <c r="E61" s="264"/>
      <c r="F61" s="126"/>
      <c r="G61" s="238"/>
      <c r="H61" s="125"/>
      <c r="I61" s="126"/>
      <c r="J61" s="127"/>
      <c r="K61" s="128"/>
    </row>
    <row r="62" spans="2:11">
      <c r="B62" s="115" t="str">
        <f t="shared" si="0"/>
        <v/>
      </c>
      <c r="C62" s="117">
        <v>55</v>
      </c>
      <c r="D62" s="125"/>
      <c r="E62" s="264"/>
      <c r="F62" s="126"/>
      <c r="G62" s="238"/>
      <c r="H62" s="125"/>
      <c r="I62" s="126"/>
      <c r="J62" s="127"/>
      <c r="K62" s="128"/>
    </row>
    <row r="63" spans="2:11">
      <c r="B63" s="115" t="str">
        <f t="shared" si="0"/>
        <v/>
      </c>
      <c r="C63" s="117">
        <v>56</v>
      </c>
      <c r="D63" s="125"/>
      <c r="E63" s="264"/>
      <c r="F63" s="126"/>
      <c r="G63" s="238"/>
      <c r="H63" s="125"/>
      <c r="I63" s="126"/>
      <c r="J63" s="127"/>
      <c r="K63" s="128"/>
    </row>
    <row r="64" spans="2:11">
      <c r="B64" s="115" t="str">
        <f t="shared" si="0"/>
        <v/>
      </c>
      <c r="C64" s="117">
        <v>57</v>
      </c>
      <c r="D64" s="125"/>
      <c r="E64" s="264"/>
      <c r="F64" s="126"/>
      <c r="G64" s="238"/>
      <c r="H64" s="125"/>
      <c r="I64" s="126"/>
      <c r="J64" s="127"/>
      <c r="K64" s="128"/>
    </row>
    <row r="65" spans="2:11">
      <c r="B65" s="115" t="str">
        <f t="shared" si="0"/>
        <v/>
      </c>
      <c r="C65" s="117">
        <v>58</v>
      </c>
      <c r="D65" s="125"/>
      <c r="E65" s="264"/>
      <c r="F65" s="126"/>
      <c r="G65" s="238"/>
      <c r="H65" s="125"/>
      <c r="I65" s="126"/>
      <c r="J65" s="127"/>
      <c r="K65" s="128"/>
    </row>
    <row r="66" spans="2:11">
      <c r="B66" s="115" t="str">
        <f t="shared" si="0"/>
        <v/>
      </c>
      <c r="C66" s="117">
        <v>59</v>
      </c>
      <c r="D66" s="125"/>
      <c r="E66" s="264"/>
      <c r="F66" s="126"/>
      <c r="G66" s="238"/>
      <c r="H66" s="125"/>
      <c r="I66" s="126"/>
      <c r="J66" s="127"/>
      <c r="K66" s="128"/>
    </row>
    <row r="67" spans="2:11">
      <c r="B67" s="115" t="str">
        <f t="shared" si="0"/>
        <v/>
      </c>
      <c r="C67" s="117">
        <v>60</v>
      </c>
      <c r="D67" s="125"/>
      <c r="E67" s="264"/>
      <c r="F67" s="126"/>
      <c r="G67" s="238"/>
      <c r="H67" s="125"/>
      <c r="I67" s="126"/>
      <c r="J67" s="127"/>
      <c r="K67" s="128"/>
    </row>
    <row r="68" spans="2:11">
      <c r="B68" s="115" t="str">
        <f t="shared" si="0"/>
        <v/>
      </c>
      <c r="C68" s="117">
        <v>61</v>
      </c>
      <c r="D68" s="125"/>
      <c r="E68" s="264"/>
      <c r="F68" s="126"/>
      <c r="G68" s="238"/>
      <c r="H68" s="125"/>
      <c r="I68" s="126"/>
      <c r="J68" s="127"/>
      <c r="K68" s="128"/>
    </row>
    <row r="69" spans="2:11">
      <c r="B69" s="115" t="str">
        <f t="shared" si="0"/>
        <v/>
      </c>
      <c r="C69" s="117">
        <v>62</v>
      </c>
      <c r="D69" s="125"/>
      <c r="E69" s="264"/>
      <c r="F69" s="126"/>
      <c r="G69" s="238"/>
      <c r="H69" s="125"/>
      <c r="I69" s="126"/>
      <c r="J69" s="127"/>
      <c r="K69" s="128"/>
    </row>
    <row r="70" spans="2:11">
      <c r="B70" s="115" t="str">
        <f t="shared" si="0"/>
        <v/>
      </c>
      <c r="C70" s="117">
        <v>63</v>
      </c>
      <c r="D70" s="125"/>
      <c r="E70" s="264"/>
      <c r="F70" s="126"/>
      <c r="G70" s="238"/>
      <c r="H70" s="125"/>
      <c r="I70" s="126"/>
      <c r="J70" s="127"/>
      <c r="K70" s="128"/>
    </row>
    <row r="71" spans="2:11">
      <c r="B71" s="115" t="str">
        <f t="shared" si="0"/>
        <v/>
      </c>
      <c r="C71" s="117">
        <v>64</v>
      </c>
      <c r="D71" s="125"/>
      <c r="E71" s="264"/>
      <c r="F71" s="126"/>
      <c r="G71" s="238"/>
      <c r="H71" s="125"/>
      <c r="I71" s="126"/>
      <c r="J71" s="127"/>
      <c r="K71" s="128"/>
    </row>
    <row r="72" spans="2:11">
      <c r="B72" s="115" t="str">
        <f t="shared" si="0"/>
        <v/>
      </c>
      <c r="C72" s="117">
        <v>65</v>
      </c>
      <c r="D72" s="125"/>
      <c r="E72" s="264"/>
      <c r="F72" s="126"/>
      <c r="G72" s="238"/>
      <c r="H72" s="125"/>
      <c r="I72" s="126"/>
      <c r="J72" s="127"/>
      <c r="K72" s="128"/>
    </row>
    <row r="73" spans="2:11">
      <c r="B73" s="115" t="str">
        <f t="shared" ref="B73:B136" si="1">CONCATENATE(E73,G73)</f>
        <v/>
      </c>
      <c r="C73" s="117">
        <v>66</v>
      </c>
      <c r="D73" s="125"/>
      <c r="E73" s="264"/>
      <c r="F73" s="126"/>
      <c r="G73" s="238"/>
      <c r="H73" s="125"/>
      <c r="I73" s="126"/>
      <c r="J73" s="127"/>
      <c r="K73" s="128"/>
    </row>
    <row r="74" spans="2:11">
      <c r="B74" s="115" t="str">
        <f t="shared" si="1"/>
        <v/>
      </c>
      <c r="C74" s="117">
        <v>67</v>
      </c>
      <c r="D74" s="125"/>
      <c r="E74" s="264"/>
      <c r="F74" s="126"/>
      <c r="G74" s="238"/>
      <c r="H74" s="125"/>
      <c r="I74" s="126"/>
      <c r="J74" s="127"/>
      <c r="K74" s="128"/>
    </row>
    <row r="75" spans="2:11">
      <c r="B75" s="115" t="str">
        <f t="shared" si="1"/>
        <v/>
      </c>
      <c r="C75" s="117">
        <v>68</v>
      </c>
      <c r="D75" s="125"/>
      <c r="E75" s="264"/>
      <c r="F75" s="126"/>
      <c r="G75" s="238"/>
      <c r="H75" s="125"/>
      <c r="I75" s="126"/>
      <c r="J75" s="127"/>
      <c r="K75" s="128"/>
    </row>
    <row r="76" spans="2:11">
      <c r="B76" s="115" t="str">
        <f t="shared" si="1"/>
        <v/>
      </c>
      <c r="C76" s="117">
        <v>69</v>
      </c>
      <c r="D76" s="125"/>
      <c r="E76" s="264"/>
      <c r="F76" s="126"/>
      <c r="G76" s="238"/>
      <c r="H76" s="125"/>
      <c r="I76" s="126"/>
      <c r="J76" s="127"/>
      <c r="K76" s="128"/>
    </row>
    <row r="77" spans="2:11">
      <c r="B77" s="115" t="str">
        <f t="shared" si="1"/>
        <v/>
      </c>
      <c r="C77" s="117">
        <v>70</v>
      </c>
      <c r="D77" s="125"/>
      <c r="E77" s="264"/>
      <c r="F77" s="126"/>
      <c r="G77" s="238"/>
      <c r="H77" s="125"/>
      <c r="I77" s="126"/>
      <c r="J77" s="127"/>
      <c r="K77" s="128"/>
    </row>
    <row r="78" spans="2:11">
      <c r="B78" s="115" t="str">
        <f t="shared" si="1"/>
        <v/>
      </c>
      <c r="C78" s="117">
        <v>71</v>
      </c>
      <c r="D78" s="125"/>
      <c r="E78" s="264"/>
      <c r="F78" s="126"/>
      <c r="G78" s="238"/>
      <c r="H78" s="125"/>
      <c r="I78" s="126"/>
      <c r="J78" s="127"/>
      <c r="K78" s="128"/>
    </row>
    <row r="79" spans="2:11">
      <c r="B79" s="115" t="str">
        <f t="shared" si="1"/>
        <v/>
      </c>
      <c r="C79" s="117">
        <v>72</v>
      </c>
      <c r="D79" s="125"/>
      <c r="E79" s="264"/>
      <c r="F79" s="126"/>
      <c r="G79" s="238"/>
      <c r="H79" s="125"/>
      <c r="I79" s="126"/>
      <c r="J79" s="127"/>
      <c r="K79" s="128"/>
    </row>
    <row r="80" spans="2:11">
      <c r="B80" s="115" t="str">
        <f t="shared" si="1"/>
        <v/>
      </c>
      <c r="C80" s="117">
        <v>73</v>
      </c>
      <c r="D80" s="125"/>
      <c r="E80" s="264"/>
      <c r="F80" s="126"/>
      <c r="G80" s="238"/>
      <c r="H80" s="125"/>
      <c r="I80" s="126"/>
      <c r="J80" s="127"/>
      <c r="K80" s="128"/>
    </row>
    <row r="81" spans="2:11">
      <c r="B81" s="115" t="str">
        <f t="shared" si="1"/>
        <v/>
      </c>
      <c r="C81" s="117">
        <v>74</v>
      </c>
      <c r="D81" s="125"/>
      <c r="E81" s="264"/>
      <c r="F81" s="126"/>
      <c r="G81" s="238"/>
      <c r="H81" s="125"/>
      <c r="I81" s="126"/>
      <c r="J81" s="127"/>
      <c r="K81" s="128"/>
    </row>
    <row r="82" spans="2:11">
      <c r="B82" s="115" t="str">
        <f t="shared" si="1"/>
        <v/>
      </c>
      <c r="C82" s="117">
        <v>75</v>
      </c>
      <c r="D82" s="125"/>
      <c r="E82" s="264"/>
      <c r="F82" s="126"/>
      <c r="G82" s="238"/>
      <c r="H82" s="125"/>
      <c r="I82" s="126"/>
      <c r="J82" s="127"/>
      <c r="K82" s="128"/>
    </row>
    <row r="83" spans="2:11">
      <c r="B83" s="115" t="str">
        <f t="shared" si="1"/>
        <v/>
      </c>
      <c r="C83" s="117">
        <v>76</v>
      </c>
      <c r="D83" s="125"/>
      <c r="E83" s="264"/>
      <c r="F83" s="126"/>
      <c r="G83" s="238"/>
      <c r="H83" s="125"/>
      <c r="I83" s="126"/>
      <c r="J83" s="127"/>
      <c r="K83" s="128"/>
    </row>
    <row r="84" spans="2:11">
      <c r="B84" s="115" t="str">
        <f t="shared" si="1"/>
        <v/>
      </c>
      <c r="C84" s="117">
        <v>77</v>
      </c>
      <c r="D84" s="125"/>
      <c r="E84" s="264"/>
      <c r="F84" s="126"/>
      <c r="G84" s="238"/>
      <c r="H84" s="125"/>
      <c r="I84" s="126"/>
      <c r="J84" s="127"/>
      <c r="K84" s="128"/>
    </row>
    <row r="85" spans="2:11">
      <c r="B85" s="115" t="str">
        <f t="shared" si="1"/>
        <v/>
      </c>
      <c r="C85" s="117">
        <v>78</v>
      </c>
      <c r="D85" s="125"/>
      <c r="E85" s="264"/>
      <c r="F85" s="126"/>
      <c r="G85" s="238"/>
      <c r="H85" s="125"/>
      <c r="I85" s="126"/>
      <c r="J85" s="127"/>
      <c r="K85" s="128"/>
    </row>
    <row r="86" spans="2:11">
      <c r="B86" s="115" t="str">
        <f t="shared" si="1"/>
        <v/>
      </c>
      <c r="C86" s="117">
        <v>79</v>
      </c>
      <c r="D86" s="125"/>
      <c r="E86" s="264"/>
      <c r="F86" s="126"/>
      <c r="G86" s="238"/>
      <c r="H86" s="125"/>
      <c r="I86" s="126"/>
      <c r="J86" s="127"/>
      <c r="K86" s="128"/>
    </row>
    <row r="87" spans="2:11">
      <c r="B87" s="115" t="str">
        <f t="shared" si="1"/>
        <v/>
      </c>
      <c r="C87" s="117">
        <v>80</v>
      </c>
      <c r="D87" s="125"/>
      <c r="E87" s="264"/>
      <c r="F87" s="126"/>
      <c r="G87" s="238"/>
      <c r="H87" s="125"/>
      <c r="I87" s="126"/>
      <c r="J87" s="127"/>
      <c r="K87" s="128"/>
    </row>
    <row r="88" spans="2:11">
      <c r="B88" s="115" t="str">
        <f t="shared" si="1"/>
        <v/>
      </c>
      <c r="C88" s="117">
        <v>81</v>
      </c>
      <c r="D88" s="125"/>
      <c r="E88" s="264"/>
      <c r="F88" s="126"/>
      <c r="G88" s="238"/>
      <c r="H88" s="125"/>
      <c r="I88" s="126"/>
      <c r="J88" s="127"/>
      <c r="K88" s="128"/>
    </row>
    <row r="89" spans="2:11">
      <c r="B89" s="115" t="str">
        <f t="shared" si="1"/>
        <v/>
      </c>
      <c r="C89" s="117">
        <v>82</v>
      </c>
      <c r="D89" s="125"/>
      <c r="E89" s="264"/>
      <c r="F89" s="126"/>
      <c r="G89" s="238"/>
      <c r="H89" s="125"/>
      <c r="I89" s="126"/>
      <c r="J89" s="127"/>
      <c r="K89" s="128"/>
    </row>
    <row r="90" spans="2:11">
      <c r="B90" s="115" t="str">
        <f t="shared" si="1"/>
        <v/>
      </c>
      <c r="C90" s="117">
        <v>83</v>
      </c>
      <c r="D90" s="125"/>
      <c r="E90" s="264"/>
      <c r="F90" s="126"/>
      <c r="G90" s="238"/>
      <c r="H90" s="125"/>
      <c r="I90" s="126"/>
      <c r="J90" s="127"/>
      <c r="K90" s="128"/>
    </row>
    <row r="91" spans="2:11">
      <c r="B91" s="115" t="str">
        <f t="shared" si="1"/>
        <v/>
      </c>
      <c r="C91" s="117">
        <v>84</v>
      </c>
      <c r="D91" s="125"/>
      <c r="E91" s="264"/>
      <c r="F91" s="126"/>
      <c r="G91" s="238"/>
      <c r="H91" s="125"/>
      <c r="I91" s="126"/>
      <c r="J91" s="127"/>
      <c r="K91" s="128"/>
    </row>
    <row r="92" spans="2:11">
      <c r="B92" s="115" t="str">
        <f t="shared" si="1"/>
        <v/>
      </c>
      <c r="C92" s="117">
        <v>85</v>
      </c>
      <c r="D92" s="125"/>
      <c r="E92" s="264"/>
      <c r="F92" s="126"/>
      <c r="G92" s="238"/>
      <c r="H92" s="125"/>
      <c r="I92" s="126"/>
      <c r="J92" s="127"/>
      <c r="K92" s="128"/>
    </row>
    <row r="93" spans="2:11">
      <c r="B93" s="115" t="str">
        <f t="shared" si="1"/>
        <v/>
      </c>
      <c r="C93" s="117">
        <v>86</v>
      </c>
      <c r="D93" s="125"/>
      <c r="E93" s="264"/>
      <c r="F93" s="126"/>
      <c r="G93" s="238"/>
      <c r="H93" s="125"/>
      <c r="I93" s="126"/>
      <c r="J93" s="127"/>
      <c r="K93" s="128"/>
    </row>
    <row r="94" spans="2:11">
      <c r="B94" s="115" t="str">
        <f t="shared" si="1"/>
        <v/>
      </c>
      <c r="C94" s="117">
        <v>87</v>
      </c>
      <c r="D94" s="125"/>
      <c r="E94" s="264"/>
      <c r="F94" s="126"/>
      <c r="G94" s="238"/>
      <c r="H94" s="125"/>
      <c r="I94" s="126"/>
      <c r="J94" s="127"/>
      <c r="K94" s="128"/>
    </row>
    <row r="95" spans="2:11">
      <c r="B95" s="115" t="str">
        <f t="shared" si="1"/>
        <v/>
      </c>
      <c r="C95" s="117">
        <v>88</v>
      </c>
      <c r="D95" s="125"/>
      <c r="E95" s="264"/>
      <c r="F95" s="126"/>
      <c r="G95" s="238"/>
      <c r="H95" s="125"/>
      <c r="I95" s="126"/>
      <c r="J95" s="127"/>
      <c r="K95" s="128"/>
    </row>
    <row r="96" spans="2:11">
      <c r="B96" s="115" t="str">
        <f t="shared" si="1"/>
        <v/>
      </c>
      <c r="C96" s="117">
        <v>89</v>
      </c>
      <c r="D96" s="125"/>
      <c r="E96" s="264"/>
      <c r="F96" s="126"/>
      <c r="G96" s="238"/>
      <c r="H96" s="125"/>
      <c r="I96" s="126"/>
      <c r="J96" s="127"/>
      <c r="K96" s="128"/>
    </row>
    <row r="97" spans="2:11">
      <c r="B97" s="115" t="str">
        <f t="shared" si="1"/>
        <v/>
      </c>
      <c r="C97" s="117">
        <v>90</v>
      </c>
      <c r="D97" s="125"/>
      <c r="E97" s="264"/>
      <c r="F97" s="126"/>
      <c r="G97" s="238"/>
      <c r="H97" s="125"/>
      <c r="I97" s="126"/>
      <c r="J97" s="127"/>
      <c r="K97" s="128"/>
    </row>
    <row r="98" spans="2:11">
      <c r="B98" s="115" t="str">
        <f t="shared" si="1"/>
        <v/>
      </c>
      <c r="C98" s="117">
        <v>91</v>
      </c>
      <c r="D98" s="125"/>
      <c r="E98" s="264"/>
      <c r="F98" s="126"/>
      <c r="G98" s="238"/>
      <c r="H98" s="125"/>
      <c r="I98" s="126"/>
      <c r="J98" s="127"/>
      <c r="K98" s="128"/>
    </row>
    <row r="99" spans="2:11">
      <c r="B99" s="115" t="str">
        <f t="shared" si="1"/>
        <v/>
      </c>
      <c r="C99" s="117">
        <v>92</v>
      </c>
      <c r="D99" s="125"/>
      <c r="E99" s="264"/>
      <c r="F99" s="126"/>
      <c r="G99" s="238"/>
      <c r="H99" s="125"/>
      <c r="I99" s="126"/>
      <c r="J99" s="127"/>
      <c r="K99" s="128"/>
    </row>
    <row r="100" spans="2:11">
      <c r="B100" s="115" t="str">
        <f t="shared" si="1"/>
        <v/>
      </c>
      <c r="C100" s="117">
        <v>93</v>
      </c>
      <c r="D100" s="125"/>
      <c r="E100" s="264"/>
      <c r="F100" s="126"/>
      <c r="G100" s="238"/>
      <c r="H100" s="125"/>
      <c r="I100" s="126"/>
      <c r="J100" s="127"/>
      <c r="K100" s="128"/>
    </row>
    <row r="101" spans="2:11">
      <c r="B101" s="115" t="str">
        <f t="shared" si="1"/>
        <v/>
      </c>
      <c r="C101" s="117">
        <v>94</v>
      </c>
      <c r="D101" s="125"/>
      <c r="E101" s="264"/>
      <c r="F101" s="126"/>
      <c r="G101" s="238"/>
      <c r="H101" s="125"/>
      <c r="I101" s="126"/>
      <c r="J101" s="127"/>
      <c r="K101" s="128"/>
    </row>
    <row r="102" spans="2:11">
      <c r="B102" s="115" t="str">
        <f t="shared" si="1"/>
        <v/>
      </c>
      <c r="C102" s="117">
        <v>95</v>
      </c>
      <c r="D102" s="125"/>
      <c r="E102" s="264"/>
      <c r="F102" s="126"/>
      <c r="G102" s="238"/>
      <c r="H102" s="125"/>
      <c r="I102" s="126"/>
      <c r="J102" s="127"/>
      <c r="K102" s="128"/>
    </row>
    <row r="103" spans="2:11">
      <c r="B103" s="115" t="str">
        <f t="shared" si="1"/>
        <v/>
      </c>
      <c r="C103" s="117">
        <v>96</v>
      </c>
      <c r="D103" s="125"/>
      <c r="E103" s="264"/>
      <c r="F103" s="126"/>
      <c r="G103" s="238"/>
      <c r="H103" s="125"/>
      <c r="I103" s="126"/>
      <c r="J103" s="127"/>
      <c r="K103" s="128"/>
    </row>
    <row r="104" spans="2:11">
      <c r="B104" s="115" t="str">
        <f t="shared" si="1"/>
        <v/>
      </c>
      <c r="C104" s="117">
        <v>97</v>
      </c>
      <c r="D104" s="125"/>
      <c r="E104" s="264"/>
      <c r="F104" s="126"/>
      <c r="G104" s="238"/>
      <c r="H104" s="125"/>
      <c r="I104" s="126"/>
      <c r="J104" s="127"/>
      <c r="K104" s="128"/>
    </row>
    <row r="105" spans="2:11">
      <c r="B105" s="115" t="str">
        <f t="shared" si="1"/>
        <v/>
      </c>
      <c r="C105" s="117">
        <v>98</v>
      </c>
      <c r="D105" s="125"/>
      <c r="E105" s="264"/>
      <c r="F105" s="126"/>
      <c r="G105" s="238"/>
      <c r="H105" s="125"/>
      <c r="I105" s="126"/>
      <c r="J105" s="127"/>
      <c r="K105" s="128"/>
    </row>
    <row r="106" spans="2:11">
      <c r="B106" s="115" t="str">
        <f t="shared" si="1"/>
        <v/>
      </c>
      <c r="C106" s="117">
        <v>99</v>
      </c>
      <c r="D106" s="125"/>
      <c r="E106" s="264"/>
      <c r="F106" s="126"/>
      <c r="G106" s="238"/>
      <c r="H106" s="125"/>
      <c r="I106" s="126"/>
      <c r="J106" s="127"/>
      <c r="K106" s="128"/>
    </row>
    <row r="107" spans="2:11">
      <c r="B107" s="115" t="str">
        <f t="shared" si="1"/>
        <v/>
      </c>
      <c r="C107" s="117">
        <v>100</v>
      </c>
      <c r="D107" s="125"/>
      <c r="E107" s="264"/>
      <c r="F107" s="126"/>
      <c r="G107" s="238"/>
      <c r="H107" s="125"/>
      <c r="I107" s="126"/>
      <c r="J107" s="127"/>
      <c r="K107" s="128"/>
    </row>
    <row r="108" spans="2:11">
      <c r="B108" s="115" t="str">
        <f t="shared" si="1"/>
        <v/>
      </c>
      <c r="C108" s="117">
        <v>101</v>
      </c>
      <c r="D108" s="125"/>
      <c r="E108" s="264"/>
      <c r="F108" s="126"/>
      <c r="G108" s="238"/>
      <c r="H108" s="125"/>
      <c r="I108" s="126"/>
      <c r="J108" s="127"/>
      <c r="K108" s="128"/>
    </row>
    <row r="109" spans="2:11">
      <c r="B109" s="115" t="str">
        <f t="shared" si="1"/>
        <v/>
      </c>
      <c r="C109" s="117">
        <v>102</v>
      </c>
      <c r="D109" s="125"/>
      <c r="E109" s="264"/>
      <c r="F109" s="126"/>
      <c r="G109" s="238"/>
      <c r="H109" s="125"/>
      <c r="I109" s="126"/>
      <c r="J109" s="127"/>
      <c r="K109" s="128"/>
    </row>
    <row r="110" spans="2:11">
      <c r="B110" s="115" t="str">
        <f t="shared" si="1"/>
        <v/>
      </c>
      <c r="C110" s="117">
        <v>103</v>
      </c>
      <c r="D110" s="125"/>
      <c r="E110" s="264"/>
      <c r="F110" s="126"/>
      <c r="G110" s="238"/>
      <c r="H110" s="125"/>
      <c r="I110" s="126"/>
      <c r="J110" s="127"/>
      <c r="K110" s="128"/>
    </row>
    <row r="111" spans="2:11">
      <c r="B111" s="115" t="str">
        <f t="shared" si="1"/>
        <v/>
      </c>
      <c r="C111" s="117">
        <v>104</v>
      </c>
      <c r="D111" s="125"/>
      <c r="E111" s="264"/>
      <c r="F111" s="126"/>
      <c r="G111" s="238"/>
      <c r="H111" s="125"/>
      <c r="I111" s="126"/>
      <c r="J111" s="127"/>
      <c r="K111" s="128"/>
    </row>
    <row r="112" spans="2:11">
      <c r="B112" s="115" t="str">
        <f t="shared" si="1"/>
        <v/>
      </c>
      <c r="C112" s="117">
        <v>105</v>
      </c>
      <c r="D112" s="125"/>
      <c r="E112" s="264"/>
      <c r="F112" s="126"/>
      <c r="G112" s="238"/>
      <c r="H112" s="125"/>
      <c r="I112" s="126"/>
      <c r="J112" s="127"/>
      <c r="K112" s="128"/>
    </row>
    <row r="113" spans="2:11">
      <c r="B113" s="115" t="str">
        <f t="shared" si="1"/>
        <v/>
      </c>
      <c r="C113" s="117">
        <v>106</v>
      </c>
      <c r="D113" s="125"/>
      <c r="E113" s="264"/>
      <c r="F113" s="126"/>
      <c r="G113" s="238"/>
      <c r="H113" s="125"/>
      <c r="I113" s="126"/>
      <c r="J113" s="127"/>
      <c r="K113" s="128"/>
    </row>
    <row r="114" spans="2:11">
      <c r="B114" s="115" t="str">
        <f t="shared" si="1"/>
        <v/>
      </c>
      <c r="C114" s="117">
        <v>107</v>
      </c>
      <c r="D114" s="125"/>
      <c r="E114" s="264"/>
      <c r="F114" s="126"/>
      <c r="G114" s="238"/>
      <c r="H114" s="125"/>
      <c r="I114" s="126"/>
      <c r="J114" s="127"/>
      <c r="K114" s="128"/>
    </row>
    <row r="115" spans="2:11">
      <c r="B115" s="115" t="str">
        <f t="shared" si="1"/>
        <v/>
      </c>
      <c r="C115" s="117">
        <v>108</v>
      </c>
      <c r="D115" s="125"/>
      <c r="E115" s="264"/>
      <c r="F115" s="126"/>
      <c r="G115" s="238"/>
      <c r="H115" s="125"/>
      <c r="I115" s="126"/>
      <c r="J115" s="127"/>
      <c r="K115" s="128"/>
    </row>
    <row r="116" spans="2:11">
      <c r="B116" s="115" t="str">
        <f t="shared" si="1"/>
        <v/>
      </c>
      <c r="C116" s="117">
        <v>109</v>
      </c>
      <c r="D116" s="125"/>
      <c r="E116" s="264"/>
      <c r="F116" s="126"/>
      <c r="G116" s="238"/>
      <c r="H116" s="125"/>
      <c r="I116" s="126"/>
      <c r="J116" s="127"/>
      <c r="K116" s="128"/>
    </row>
    <row r="117" spans="2:11">
      <c r="B117" s="115" t="str">
        <f t="shared" si="1"/>
        <v/>
      </c>
      <c r="C117" s="117">
        <v>110</v>
      </c>
      <c r="D117" s="125"/>
      <c r="E117" s="264"/>
      <c r="F117" s="126"/>
      <c r="G117" s="238"/>
      <c r="H117" s="125"/>
      <c r="I117" s="126"/>
      <c r="J117" s="127"/>
      <c r="K117" s="128"/>
    </row>
    <row r="118" spans="2:11">
      <c r="B118" s="115" t="str">
        <f t="shared" si="1"/>
        <v/>
      </c>
      <c r="C118" s="117">
        <v>111</v>
      </c>
      <c r="D118" s="125"/>
      <c r="E118" s="264"/>
      <c r="F118" s="126"/>
      <c r="G118" s="238"/>
      <c r="H118" s="125"/>
      <c r="I118" s="126"/>
      <c r="J118" s="127"/>
      <c r="K118" s="128"/>
    </row>
    <row r="119" spans="2:11">
      <c r="B119" s="115" t="str">
        <f t="shared" si="1"/>
        <v/>
      </c>
      <c r="C119" s="117">
        <v>112</v>
      </c>
      <c r="D119" s="125"/>
      <c r="E119" s="264"/>
      <c r="F119" s="126"/>
      <c r="G119" s="238"/>
      <c r="H119" s="125"/>
      <c r="I119" s="126"/>
      <c r="J119" s="127"/>
      <c r="K119" s="128"/>
    </row>
    <row r="120" spans="2:11">
      <c r="B120" s="115" t="str">
        <f t="shared" si="1"/>
        <v/>
      </c>
      <c r="C120" s="117">
        <v>113</v>
      </c>
      <c r="D120" s="125"/>
      <c r="E120" s="264"/>
      <c r="F120" s="126"/>
      <c r="G120" s="238"/>
      <c r="H120" s="125"/>
      <c r="I120" s="126"/>
      <c r="J120" s="127"/>
      <c r="K120" s="128"/>
    </row>
    <row r="121" spans="2:11">
      <c r="B121" s="115" t="str">
        <f t="shared" si="1"/>
        <v/>
      </c>
      <c r="C121" s="117">
        <v>114</v>
      </c>
      <c r="D121" s="125"/>
      <c r="E121" s="264"/>
      <c r="F121" s="126"/>
      <c r="G121" s="238"/>
      <c r="H121" s="125"/>
      <c r="I121" s="126"/>
      <c r="J121" s="127"/>
      <c r="K121" s="128"/>
    </row>
    <row r="122" spans="2:11">
      <c r="B122" s="115" t="str">
        <f t="shared" si="1"/>
        <v/>
      </c>
      <c r="C122" s="117">
        <v>115</v>
      </c>
      <c r="D122" s="125"/>
      <c r="E122" s="264"/>
      <c r="F122" s="126"/>
      <c r="G122" s="238"/>
      <c r="H122" s="125"/>
      <c r="I122" s="126"/>
      <c r="J122" s="127"/>
      <c r="K122" s="128"/>
    </row>
    <row r="123" spans="2:11">
      <c r="B123" s="115" t="str">
        <f t="shared" si="1"/>
        <v/>
      </c>
      <c r="C123" s="117">
        <v>116</v>
      </c>
      <c r="D123" s="125"/>
      <c r="E123" s="264"/>
      <c r="F123" s="126"/>
      <c r="G123" s="238"/>
      <c r="H123" s="125"/>
      <c r="I123" s="126"/>
      <c r="J123" s="127"/>
      <c r="K123" s="128"/>
    </row>
    <row r="124" spans="2:11">
      <c r="B124" s="115" t="str">
        <f t="shared" si="1"/>
        <v/>
      </c>
      <c r="C124" s="117">
        <v>117</v>
      </c>
      <c r="D124" s="125"/>
      <c r="E124" s="264"/>
      <c r="F124" s="126"/>
      <c r="G124" s="238"/>
      <c r="H124" s="125"/>
      <c r="I124" s="126"/>
      <c r="J124" s="127"/>
      <c r="K124" s="128"/>
    </row>
    <row r="125" spans="2:11">
      <c r="B125" s="115" t="str">
        <f t="shared" si="1"/>
        <v/>
      </c>
      <c r="C125" s="117">
        <v>118</v>
      </c>
      <c r="D125" s="125"/>
      <c r="E125" s="264"/>
      <c r="F125" s="126"/>
      <c r="G125" s="238"/>
      <c r="H125" s="125"/>
      <c r="I125" s="126"/>
      <c r="J125" s="127"/>
      <c r="K125" s="128"/>
    </row>
    <row r="126" spans="2:11">
      <c r="B126" s="115" t="str">
        <f t="shared" si="1"/>
        <v/>
      </c>
      <c r="C126" s="117">
        <v>119</v>
      </c>
      <c r="D126" s="125"/>
      <c r="E126" s="264"/>
      <c r="F126" s="126"/>
      <c r="G126" s="238"/>
      <c r="H126" s="125"/>
      <c r="I126" s="126"/>
      <c r="J126" s="127"/>
      <c r="K126" s="128"/>
    </row>
    <row r="127" spans="2:11">
      <c r="B127" s="115" t="str">
        <f t="shared" si="1"/>
        <v/>
      </c>
      <c r="C127" s="117">
        <v>120</v>
      </c>
      <c r="D127" s="125"/>
      <c r="E127" s="264"/>
      <c r="F127" s="126"/>
      <c r="G127" s="238"/>
      <c r="H127" s="125"/>
      <c r="I127" s="126"/>
      <c r="J127" s="127"/>
      <c r="K127" s="128"/>
    </row>
    <row r="128" spans="2:11">
      <c r="B128" s="115" t="str">
        <f t="shared" si="1"/>
        <v/>
      </c>
      <c r="C128" s="117">
        <v>121</v>
      </c>
      <c r="D128" s="125"/>
      <c r="E128" s="264"/>
      <c r="F128" s="126"/>
      <c r="G128" s="238"/>
      <c r="H128" s="125"/>
      <c r="I128" s="126"/>
      <c r="J128" s="127"/>
      <c r="K128" s="128"/>
    </row>
    <row r="129" spans="2:11">
      <c r="B129" s="115" t="str">
        <f t="shared" si="1"/>
        <v/>
      </c>
      <c r="C129" s="117">
        <v>122</v>
      </c>
      <c r="D129" s="125"/>
      <c r="E129" s="264"/>
      <c r="F129" s="126"/>
      <c r="G129" s="238"/>
      <c r="H129" s="125"/>
      <c r="I129" s="126"/>
      <c r="J129" s="127"/>
      <c r="K129" s="128"/>
    </row>
    <row r="130" spans="2:11">
      <c r="B130" s="115" t="str">
        <f t="shared" si="1"/>
        <v/>
      </c>
      <c r="C130" s="117">
        <v>123</v>
      </c>
      <c r="D130" s="125"/>
      <c r="E130" s="264"/>
      <c r="F130" s="126"/>
      <c r="G130" s="238"/>
      <c r="H130" s="125"/>
      <c r="I130" s="126"/>
      <c r="J130" s="127"/>
      <c r="K130" s="128"/>
    </row>
    <row r="131" spans="2:11">
      <c r="B131" s="115" t="str">
        <f t="shared" si="1"/>
        <v/>
      </c>
      <c r="C131" s="117">
        <v>124</v>
      </c>
      <c r="D131" s="125"/>
      <c r="E131" s="264"/>
      <c r="F131" s="126"/>
      <c r="G131" s="238"/>
      <c r="H131" s="125"/>
      <c r="I131" s="126"/>
      <c r="J131" s="127"/>
      <c r="K131" s="128"/>
    </row>
    <row r="132" spans="2:11">
      <c r="B132" s="115" t="str">
        <f t="shared" si="1"/>
        <v/>
      </c>
      <c r="C132" s="117">
        <v>125</v>
      </c>
      <c r="D132" s="125"/>
      <c r="E132" s="264"/>
      <c r="F132" s="126"/>
      <c r="G132" s="238"/>
      <c r="H132" s="125"/>
      <c r="I132" s="126"/>
      <c r="J132" s="127"/>
      <c r="K132" s="128"/>
    </row>
    <row r="133" spans="2:11">
      <c r="B133" s="115" t="str">
        <f t="shared" si="1"/>
        <v/>
      </c>
      <c r="C133" s="117">
        <v>126</v>
      </c>
      <c r="D133" s="125"/>
      <c r="E133" s="264"/>
      <c r="F133" s="126"/>
      <c r="G133" s="238"/>
      <c r="H133" s="125"/>
      <c r="I133" s="126"/>
      <c r="J133" s="127"/>
      <c r="K133" s="128"/>
    </row>
    <row r="134" spans="2:11">
      <c r="B134" s="115" t="str">
        <f t="shared" si="1"/>
        <v/>
      </c>
      <c r="C134" s="117">
        <v>127</v>
      </c>
      <c r="D134" s="125"/>
      <c r="E134" s="264"/>
      <c r="F134" s="126"/>
      <c r="G134" s="238"/>
      <c r="H134" s="125"/>
      <c r="I134" s="126"/>
      <c r="J134" s="127"/>
      <c r="K134" s="128"/>
    </row>
    <row r="135" spans="2:11">
      <c r="B135" s="115" t="str">
        <f t="shared" si="1"/>
        <v/>
      </c>
      <c r="C135" s="117">
        <v>128</v>
      </c>
      <c r="D135" s="125"/>
      <c r="E135" s="264"/>
      <c r="F135" s="126"/>
      <c r="G135" s="238"/>
      <c r="H135" s="125"/>
      <c r="I135" s="126"/>
      <c r="J135" s="127"/>
      <c r="K135" s="128"/>
    </row>
    <row r="136" spans="2:11">
      <c r="B136" s="115" t="str">
        <f t="shared" si="1"/>
        <v/>
      </c>
      <c r="C136" s="117">
        <v>129</v>
      </c>
      <c r="D136" s="125"/>
      <c r="E136" s="264"/>
      <c r="F136" s="126"/>
      <c r="G136" s="238"/>
      <c r="H136" s="125"/>
      <c r="I136" s="126"/>
      <c r="J136" s="127"/>
      <c r="K136" s="128"/>
    </row>
    <row r="137" spans="2:11">
      <c r="B137" s="115" t="str">
        <f t="shared" ref="B137:B200" si="2">CONCATENATE(E137,G137)</f>
        <v/>
      </c>
      <c r="C137" s="117">
        <v>130</v>
      </c>
      <c r="D137" s="125"/>
      <c r="E137" s="264"/>
      <c r="F137" s="126"/>
      <c r="G137" s="238"/>
      <c r="H137" s="125"/>
      <c r="I137" s="126"/>
      <c r="J137" s="127"/>
      <c r="K137" s="128"/>
    </row>
    <row r="138" spans="2:11">
      <c r="B138" s="115" t="str">
        <f t="shared" si="2"/>
        <v/>
      </c>
      <c r="C138" s="117">
        <v>131</v>
      </c>
      <c r="D138" s="125"/>
      <c r="E138" s="264"/>
      <c r="F138" s="126"/>
      <c r="G138" s="238"/>
      <c r="H138" s="125"/>
      <c r="I138" s="126"/>
      <c r="J138" s="127"/>
      <c r="K138" s="128"/>
    </row>
    <row r="139" spans="2:11">
      <c r="B139" s="115" t="str">
        <f t="shared" si="2"/>
        <v/>
      </c>
      <c r="C139" s="117">
        <v>132</v>
      </c>
      <c r="D139" s="125"/>
      <c r="E139" s="264"/>
      <c r="F139" s="126"/>
      <c r="G139" s="238"/>
      <c r="H139" s="125"/>
      <c r="I139" s="126"/>
      <c r="J139" s="127"/>
      <c r="K139" s="128"/>
    </row>
    <row r="140" spans="2:11">
      <c r="B140" s="115" t="str">
        <f t="shared" si="2"/>
        <v/>
      </c>
      <c r="C140" s="117">
        <v>133</v>
      </c>
      <c r="D140" s="125"/>
      <c r="E140" s="264"/>
      <c r="F140" s="126"/>
      <c r="G140" s="238"/>
      <c r="H140" s="125"/>
      <c r="I140" s="126"/>
      <c r="J140" s="127"/>
      <c r="K140" s="128"/>
    </row>
    <row r="141" spans="2:11">
      <c r="B141" s="115" t="str">
        <f t="shared" si="2"/>
        <v/>
      </c>
      <c r="C141" s="117">
        <v>134</v>
      </c>
      <c r="D141" s="125"/>
      <c r="E141" s="264"/>
      <c r="F141" s="126"/>
      <c r="G141" s="238"/>
      <c r="H141" s="125"/>
      <c r="I141" s="126"/>
      <c r="J141" s="127"/>
      <c r="K141" s="128"/>
    </row>
    <row r="142" spans="2:11">
      <c r="B142" s="115" t="str">
        <f t="shared" si="2"/>
        <v/>
      </c>
      <c r="C142" s="117">
        <v>135</v>
      </c>
      <c r="D142" s="125"/>
      <c r="E142" s="264"/>
      <c r="F142" s="126"/>
      <c r="G142" s="238"/>
      <c r="H142" s="125"/>
      <c r="I142" s="126"/>
      <c r="J142" s="127"/>
      <c r="K142" s="128"/>
    </row>
    <row r="143" spans="2:11">
      <c r="B143" s="115" t="str">
        <f t="shared" si="2"/>
        <v/>
      </c>
      <c r="C143" s="117">
        <v>136</v>
      </c>
      <c r="D143" s="125"/>
      <c r="E143" s="264"/>
      <c r="F143" s="126"/>
      <c r="G143" s="238"/>
      <c r="H143" s="125"/>
      <c r="I143" s="126"/>
      <c r="J143" s="127"/>
      <c r="K143" s="128"/>
    </row>
    <row r="144" spans="2:11">
      <c r="B144" s="115" t="str">
        <f t="shared" si="2"/>
        <v/>
      </c>
      <c r="C144" s="117">
        <v>137</v>
      </c>
      <c r="D144" s="125"/>
      <c r="E144" s="264"/>
      <c r="F144" s="126"/>
      <c r="G144" s="238"/>
      <c r="H144" s="125"/>
      <c r="I144" s="126"/>
      <c r="J144" s="127"/>
      <c r="K144" s="128"/>
    </row>
    <row r="145" spans="2:11">
      <c r="B145" s="115" t="str">
        <f t="shared" si="2"/>
        <v/>
      </c>
      <c r="C145" s="117">
        <v>138</v>
      </c>
      <c r="D145" s="125"/>
      <c r="E145" s="264"/>
      <c r="F145" s="126"/>
      <c r="G145" s="238"/>
      <c r="H145" s="125"/>
      <c r="I145" s="126"/>
      <c r="J145" s="127"/>
      <c r="K145" s="128"/>
    </row>
    <row r="146" spans="2:11">
      <c r="B146" s="115" t="str">
        <f t="shared" si="2"/>
        <v/>
      </c>
      <c r="C146" s="117">
        <v>139</v>
      </c>
      <c r="D146" s="125"/>
      <c r="E146" s="264"/>
      <c r="F146" s="126"/>
      <c r="G146" s="238"/>
      <c r="H146" s="125"/>
      <c r="I146" s="126"/>
      <c r="J146" s="127"/>
      <c r="K146" s="128"/>
    </row>
    <row r="147" spans="2:11">
      <c r="B147" s="115" t="str">
        <f t="shared" si="2"/>
        <v/>
      </c>
      <c r="C147" s="117">
        <v>140</v>
      </c>
      <c r="D147" s="125"/>
      <c r="E147" s="264"/>
      <c r="F147" s="126"/>
      <c r="G147" s="238"/>
      <c r="H147" s="125"/>
      <c r="I147" s="126"/>
      <c r="J147" s="127"/>
      <c r="K147" s="128"/>
    </row>
    <row r="148" spans="2:11">
      <c r="B148" s="115" t="str">
        <f t="shared" si="2"/>
        <v/>
      </c>
      <c r="C148" s="117">
        <v>141</v>
      </c>
      <c r="D148" s="125"/>
      <c r="E148" s="264"/>
      <c r="F148" s="126"/>
      <c r="G148" s="238"/>
      <c r="H148" s="125"/>
      <c r="I148" s="126"/>
      <c r="J148" s="127"/>
      <c r="K148" s="128"/>
    </row>
    <row r="149" spans="2:11">
      <c r="B149" s="115" t="str">
        <f t="shared" si="2"/>
        <v/>
      </c>
      <c r="C149" s="117">
        <v>142</v>
      </c>
      <c r="D149" s="125"/>
      <c r="E149" s="264"/>
      <c r="F149" s="126"/>
      <c r="G149" s="238"/>
      <c r="H149" s="125"/>
      <c r="I149" s="126"/>
      <c r="J149" s="127"/>
      <c r="K149" s="128"/>
    </row>
    <row r="150" spans="2:11">
      <c r="B150" s="115" t="str">
        <f t="shared" si="2"/>
        <v/>
      </c>
      <c r="C150" s="117">
        <v>143</v>
      </c>
      <c r="D150" s="125"/>
      <c r="E150" s="264"/>
      <c r="F150" s="126"/>
      <c r="G150" s="238"/>
      <c r="H150" s="125"/>
      <c r="I150" s="126"/>
      <c r="J150" s="127"/>
      <c r="K150" s="128"/>
    </row>
    <row r="151" spans="2:11">
      <c r="B151" s="115" t="str">
        <f t="shared" si="2"/>
        <v/>
      </c>
      <c r="C151" s="117">
        <v>144</v>
      </c>
      <c r="D151" s="125"/>
      <c r="E151" s="264"/>
      <c r="F151" s="126"/>
      <c r="G151" s="238"/>
      <c r="H151" s="125"/>
      <c r="I151" s="126"/>
      <c r="J151" s="127"/>
      <c r="K151" s="128"/>
    </row>
    <row r="152" spans="2:11">
      <c r="B152" s="115" t="str">
        <f t="shared" si="2"/>
        <v/>
      </c>
      <c r="C152" s="117">
        <v>145</v>
      </c>
      <c r="D152" s="125"/>
      <c r="E152" s="264"/>
      <c r="F152" s="126"/>
      <c r="G152" s="238"/>
      <c r="H152" s="125"/>
      <c r="I152" s="126"/>
      <c r="J152" s="127"/>
      <c r="K152" s="128"/>
    </row>
    <row r="153" spans="2:11">
      <c r="B153" s="115" t="str">
        <f t="shared" si="2"/>
        <v/>
      </c>
      <c r="C153" s="117">
        <v>146</v>
      </c>
      <c r="D153" s="125"/>
      <c r="E153" s="264"/>
      <c r="F153" s="126"/>
      <c r="G153" s="238"/>
      <c r="H153" s="125"/>
      <c r="I153" s="126"/>
      <c r="J153" s="127"/>
      <c r="K153" s="128"/>
    </row>
    <row r="154" spans="2:11">
      <c r="B154" s="115" t="str">
        <f t="shared" si="2"/>
        <v/>
      </c>
      <c r="C154" s="117">
        <v>147</v>
      </c>
      <c r="D154" s="125"/>
      <c r="E154" s="264"/>
      <c r="F154" s="126"/>
      <c r="G154" s="238"/>
      <c r="H154" s="125"/>
      <c r="I154" s="126"/>
      <c r="J154" s="127"/>
      <c r="K154" s="128"/>
    </row>
    <row r="155" spans="2:11">
      <c r="B155" s="115" t="str">
        <f t="shared" si="2"/>
        <v/>
      </c>
      <c r="C155" s="117">
        <v>148</v>
      </c>
      <c r="D155" s="125"/>
      <c r="E155" s="264"/>
      <c r="F155" s="126"/>
      <c r="G155" s="238"/>
      <c r="H155" s="125"/>
      <c r="I155" s="126"/>
      <c r="J155" s="127"/>
      <c r="K155" s="128"/>
    </row>
    <row r="156" spans="2:11">
      <c r="B156" s="115" t="str">
        <f t="shared" si="2"/>
        <v/>
      </c>
      <c r="C156" s="117">
        <v>149</v>
      </c>
      <c r="D156" s="125"/>
      <c r="E156" s="264"/>
      <c r="F156" s="126"/>
      <c r="G156" s="238"/>
      <c r="H156" s="125"/>
      <c r="I156" s="126"/>
      <c r="J156" s="127"/>
      <c r="K156" s="128"/>
    </row>
    <row r="157" spans="2:11">
      <c r="B157" s="115" t="str">
        <f t="shared" si="2"/>
        <v/>
      </c>
      <c r="C157" s="117">
        <v>150</v>
      </c>
      <c r="D157" s="125"/>
      <c r="E157" s="264"/>
      <c r="F157" s="126"/>
      <c r="G157" s="238"/>
      <c r="H157" s="125"/>
      <c r="I157" s="126"/>
      <c r="J157" s="127"/>
      <c r="K157" s="128"/>
    </row>
    <row r="158" spans="2:11">
      <c r="B158" s="115" t="str">
        <f t="shared" si="2"/>
        <v/>
      </c>
      <c r="C158" s="117">
        <v>151</v>
      </c>
      <c r="D158" s="125"/>
      <c r="E158" s="264"/>
      <c r="F158" s="126"/>
      <c r="G158" s="238"/>
      <c r="H158" s="125"/>
      <c r="I158" s="126"/>
      <c r="J158" s="127"/>
      <c r="K158" s="128"/>
    </row>
    <row r="159" spans="2:11">
      <c r="B159" s="115" t="str">
        <f t="shared" si="2"/>
        <v/>
      </c>
      <c r="C159" s="117">
        <v>152</v>
      </c>
      <c r="D159" s="125"/>
      <c r="E159" s="264"/>
      <c r="F159" s="126"/>
      <c r="G159" s="238"/>
      <c r="H159" s="125"/>
      <c r="I159" s="126"/>
      <c r="J159" s="127"/>
      <c r="K159" s="128"/>
    </row>
    <row r="160" spans="2:11">
      <c r="B160" s="115" t="str">
        <f t="shared" si="2"/>
        <v/>
      </c>
      <c r="C160" s="117">
        <v>153</v>
      </c>
      <c r="D160" s="125"/>
      <c r="E160" s="264"/>
      <c r="F160" s="126"/>
      <c r="G160" s="238"/>
      <c r="H160" s="125"/>
      <c r="I160" s="126"/>
      <c r="J160" s="127"/>
      <c r="K160" s="128"/>
    </row>
    <row r="161" spans="2:11">
      <c r="B161" s="115" t="str">
        <f t="shared" si="2"/>
        <v/>
      </c>
      <c r="C161" s="117">
        <v>154</v>
      </c>
      <c r="D161" s="125"/>
      <c r="E161" s="264"/>
      <c r="F161" s="126"/>
      <c r="G161" s="238"/>
      <c r="H161" s="125"/>
      <c r="I161" s="126"/>
      <c r="J161" s="127"/>
      <c r="K161" s="128"/>
    </row>
    <row r="162" spans="2:11">
      <c r="B162" s="115" t="str">
        <f t="shared" si="2"/>
        <v/>
      </c>
      <c r="C162" s="117">
        <v>155</v>
      </c>
      <c r="D162" s="125"/>
      <c r="E162" s="264"/>
      <c r="F162" s="126"/>
      <c r="G162" s="238"/>
      <c r="H162" s="125"/>
      <c r="I162" s="126"/>
      <c r="J162" s="127"/>
      <c r="K162" s="128"/>
    </row>
    <row r="163" spans="2:11">
      <c r="B163" s="115" t="str">
        <f t="shared" si="2"/>
        <v/>
      </c>
      <c r="C163" s="117">
        <v>156</v>
      </c>
      <c r="D163" s="125"/>
      <c r="E163" s="264"/>
      <c r="F163" s="126"/>
      <c r="G163" s="238"/>
      <c r="H163" s="125"/>
      <c r="I163" s="126"/>
      <c r="J163" s="127"/>
      <c r="K163" s="128"/>
    </row>
    <row r="164" spans="2:11">
      <c r="B164" s="115" t="str">
        <f t="shared" si="2"/>
        <v/>
      </c>
      <c r="C164" s="117">
        <v>157</v>
      </c>
      <c r="D164" s="125"/>
      <c r="E164" s="264"/>
      <c r="F164" s="126"/>
      <c r="G164" s="238"/>
      <c r="H164" s="125"/>
      <c r="I164" s="126"/>
      <c r="J164" s="127"/>
      <c r="K164" s="128"/>
    </row>
    <row r="165" spans="2:11">
      <c r="B165" s="115" t="str">
        <f t="shared" si="2"/>
        <v/>
      </c>
      <c r="C165" s="117">
        <v>158</v>
      </c>
      <c r="D165" s="125"/>
      <c r="E165" s="264"/>
      <c r="F165" s="126"/>
      <c r="G165" s="238"/>
      <c r="H165" s="125"/>
      <c r="I165" s="126"/>
      <c r="J165" s="127"/>
      <c r="K165" s="128"/>
    </row>
    <row r="166" spans="2:11">
      <c r="B166" s="115" t="str">
        <f t="shared" si="2"/>
        <v/>
      </c>
      <c r="C166" s="117">
        <v>159</v>
      </c>
      <c r="D166" s="125"/>
      <c r="E166" s="264"/>
      <c r="F166" s="126"/>
      <c r="G166" s="238"/>
      <c r="H166" s="125"/>
      <c r="I166" s="126"/>
      <c r="J166" s="127"/>
      <c r="K166" s="128"/>
    </row>
    <row r="167" spans="2:11">
      <c r="B167" s="115" t="str">
        <f t="shared" si="2"/>
        <v/>
      </c>
      <c r="C167" s="117">
        <v>160</v>
      </c>
      <c r="D167" s="125"/>
      <c r="E167" s="264"/>
      <c r="F167" s="126"/>
      <c r="G167" s="238"/>
      <c r="H167" s="125"/>
      <c r="I167" s="126"/>
      <c r="J167" s="127"/>
      <c r="K167" s="128"/>
    </row>
    <row r="168" spans="2:11">
      <c r="B168" s="115" t="str">
        <f t="shared" si="2"/>
        <v/>
      </c>
      <c r="C168" s="117">
        <v>161</v>
      </c>
      <c r="D168" s="125"/>
      <c r="E168" s="264"/>
      <c r="F168" s="126"/>
      <c r="G168" s="238"/>
      <c r="H168" s="125"/>
      <c r="I168" s="126"/>
      <c r="J168" s="127"/>
      <c r="K168" s="128"/>
    </row>
    <row r="169" spans="2:11">
      <c r="B169" s="115" t="str">
        <f t="shared" si="2"/>
        <v/>
      </c>
      <c r="C169" s="117">
        <v>162</v>
      </c>
      <c r="D169" s="125"/>
      <c r="E169" s="264"/>
      <c r="F169" s="126"/>
      <c r="G169" s="238"/>
      <c r="H169" s="125"/>
      <c r="I169" s="126"/>
      <c r="J169" s="127"/>
      <c r="K169" s="128"/>
    </row>
    <row r="170" spans="2:11">
      <c r="B170" s="115" t="str">
        <f t="shared" si="2"/>
        <v/>
      </c>
      <c r="C170" s="117">
        <v>163</v>
      </c>
      <c r="D170" s="125"/>
      <c r="E170" s="264"/>
      <c r="F170" s="126"/>
      <c r="G170" s="238"/>
      <c r="H170" s="125"/>
      <c r="I170" s="126"/>
      <c r="J170" s="127"/>
      <c r="K170" s="128"/>
    </row>
    <row r="171" spans="2:11">
      <c r="B171" s="115" t="str">
        <f t="shared" si="2"/>
        <v/>
      </c>
      <c r="C171" s="117">
        <v>164</v>
      </c>
      <c r="D171" s="125"/>
      <c r="E171" s="264"/>
      <c r="F171" s="126"/>
      <c r="G171" s="238"/>
      <c r="H171" s="125"/>
      <c r="I171" s="126"/>
      <c r="J171" s="127"/>
      <c r="K171" s="128"/>
    </row>
    <row r="172" spans="2:11">
      <c r="B172" s="115" t="str">
        <f t="shared" si="2"/>
        <v/>
      </c>
      <c r="C172" s="117">
        <v>165</v>
      </c>
      <c r="D172" s="125"/>
      <c r="E172" s="264"/>
      <c r="F172" s="126"/>
      <c r="G172" s="238"/>
      <c r="H172" s="125"/>
      <c r="I172" s="126"/>
      <c r="J172" s="127"/>
      <c r="K172" s="128"/>
    </row>
    <row r="173" spans="2:11">
      <c r="B173" s="115" t="str">
        <f t="shared" si="2"/>
        <v/>
      </c>
      <c r="C173" s="117">
        <v>166</v>
      </c>
      <c r="D173" s="125"/>
      <c r="E173" s="264"/>
      <c r="F173" s="126"/>
      <c r="G173" s="238"/>
      <c r="H173" s="125"/>
      <c r="I173" s="126"/>
      <c r="J173" s="127"/>
      <c r="K173" s="128"/>
    </row>
    <row r="174" spans="2:11">
      <c r="B174" s="115" t="str">
        <f t="shared" si="2"/>
        <v/>
      </c>
      <c r="C174" s="117">
        <v>167</v>
      </c>
      <c r="D174" s="125"/>
      <c r="E174" s="264"/>
      <c r="F174" s="126"/>
      <c r="G174" s="238"/>
      <c r="H174" s="125"/>
      <c r="I174" s="126"/>
      <c r="J174" s="127"/>
      <c r="K174" s="128"/>
    </row>
    <row r="175" spans="2:11">
      <c r="B175" s="115" t="str">
        <f t="shared" si="2"/>
        <v/>
      </c>
      <c r="C175" s="117">
        <v>168</v>
      </c>
      <c r="D175" s="125"/>
      <c r="E175" s="264"/>
      <c r="F175" s="126"/>
      <c r="G175" s="238"/>
      <c r="H175" s="125"/>
      <c r="I175" s="126"/>
      <c r="J175" s="127"/>
      <c r="K175" s="128"/>
    </row>
    <row r="176" spans="2:11">
      <c r="B176" s="115" t="str">
        <f t="shared" si="2"/>
        <v/>
      </c>
      <c r="C176" s="117">
        <v>169</v>
      </c>
      <c r="D176" s="125"/>
      <c r="E176" s="264"/>
      <c r="F176" s="126"/>
      <c r="G176" s="238"/>
      <c r="H176" s="125"/>
      <c r="I176" s="126"/>
      <c r="J176" s="127"/>
      <c r="K176" s="128"/>
    </row>
    <row r="177" spans="2:11">
      <c r="B177" s="115" t="str">
        <f t="shared" si="2"/>
        <v/>
      </c>
      <c r="C177" s="117">
        <v>170</v>
      </c>
      <c r="D177" s="125"/>
      <c r="E177" s="264"/>
      <c r="F177" s="126"/>
      <c r="G177" s="238"/>
      <c r="H177" s="125"/>
      <c r="I177" s="126"/>
      <c r="J177" s="127"/>
      <c r="K177" s="128"/>
    </row>
    <row r="178" spans="2:11">
      <c r="B178" s="115" t="str">
        <f t="shared" si="2"/>
        <v/>
      </c>
      <c r="C178" s="117">
        <v>171</v>
      </c>
      <c r="D178" s="125"/>
      <c r="E178" s="264"/>
      <c r="F178" s="126"/>
      <c r="G178" s="238"/>
      <c r="H178" s="125"/>
      <c r="I178" s="126"/>
      <c r="J178" s="127"/>
      <c r="K178" s="128"/>
    </row>
    <row r="179" spans="2:11">
      <c r="B179" s="115" t="str">
        <f t="shared" si="2"/>
        <v/>
      </c>
      <c r="C179" s="117">
        <v>172</v>
      </c>
      <c r="D179" s="125"/>
      <c r="E179" s="264"/>
      <c r="F179" s="126"/>
      <c r="G179" s="238"/>
      <c r="H179" s="125"/>
      <c r="I179" s="126"/>
      <c r="J179" s="127"/>
      <c r="K179" s="128"/>
    </row>
    <row r="180" spans="2:11">
      <c r="B180" s="115" t="str">
        <f t="shared" si="2"/>
        <v/>
      </c>
      <c r="C180" s="117">
        <v>173</v>
      </c>
      <c r="D180" s="125"/>
      <c r="E180" s="264"/>
      <c r="F180" s="126"/>
      <c r="G180" s="238"/>
      <c r="H180" s="125"/>
      <c r="I180" s="126"/>
      <c r="J180" s="127"/>
      <c r="K180" s="128"/>
    </row>
    <row r="181" spans="2:11">
      <c r="B181" s="115" t="str">
        <f t="shared" si="2"/>
        <v/>
      </c>
      <c r="C181" s="117">
        <v>174</v>
      </c>
      <c r="D181" s="125"/>
      <c r="E181" s="264"/>
      <c r="F181" s="126"/>
      <c r="G181" s="238"/>
      <c r="H181" s="125"/>
      <c r="I181" s="126"/>
      <c r="J181" s="127"/>
      <c r="K181" s="128"/>
    </row>
    <row r="182" spans="2:11">
      <c r="B182" s="115" t="str">
        <f t="shared" si="2"/>
        <v/>
      </c>
      <c r="C182" s="117">
        <v>175</v>
      </c>
      <c r="D182" s="125"/>
      <c r="E182" s="264"/>
      <c r="F182" s="126"/>
      <c r="G182" s="238"/>
      <c r="H182" s="125"/>
      <c r="I182" s="126"/>
      <c r="J182" s="127"/>
      <c r="K182" s="128"/>
    </row>
    <row r="183" spans="2:11">
      <c r="B183" s="115" t="str">
        <f t="shared" si="2"/>
        <v/>
      </c>
      <c r="C183" s="117">
        <v>176</v>
      </c>
      <c r="D183" s="125"/>
      <c r="E183" s="264"/>
      <c r="F183" s="126"/>
      <c r="G183" s="238"/>
      <c r="H183" s="125"/>
      <c r="I183" s="126"/>
      <c r="J183" s="127"/>
      <c r="K183" s="128"/>
    </row>
    <row r="184" spans="2:11">
      <c r="B184" s="115" t="str">
        <f t="shared" si="2"/>
        <v/>
      </c>
      <c r="C184" s="117">
        <v>177</v>
      </c>
      <c r="D184" s="125"/>
      <c r="E184" s="264"/>
      <c r="F184" s="126"/>
      <c r="G184" s="238"/>
      <c r="H184" s="125"/>
      <c r="I184" s="126"/>
      <c r="J184" s="127"/>
      <c r="K184" s="128"/>
    </row>
    <row r="185" spans="2:11">
      <c r="B185" s="115" t="str">
        <f t="shared" si="2"/>
        <v/>
      </c>
      <c r="C185" s="117">
        <v>178</v>
      </c>
      <c r="D185" s="125"/>
      <c r="E185" s="264"/>
      <c r="F185" s="126"/>
      <c r="G185" s="238"/>
      <c r="H185" s="125"/>
      <c r="I185" s="126"/>
      <c r="J185" s="127"/>
      <c r="K185" s="128"/>
    </row>
    <row r="186" spans="2:11">
      <c r="B186" s="115" t="str">
        <f t="shared" si="2"/>
        <v/>
      </c>
      <c r="C186" s="117">
        <v>179</v>
      </c>
      <c r="D186" s="125"/>
      <c r="E186" s="264"/>
      <c r="F186" s="126"/>
      <c r="G186" s="238"/>
      <c r="H186" s="125"/>
      <c r="I186" s="126"/>
      <c r="J186" s="127"/>
      <c r="K186" s="128"/>
    </row>
    <row r="187" spans="2:11">
      <c r="B187" s="115" t="str">
        <f t="shared" si="2"/>
        <v/>
      </c>
      <c r="C187" s="117">
        <v>180</v>
      </c>
      <c r="D187" s="125"/>
      <c r="E187" s="264"/>
      <c r="F187" s="126"/>
      <c r="G187" s="238"/>
      <c r="H187" s="125"/>
      <c r="I187" s="126"/>
      <c r="J187" s="127"/>
      <c r="K187" s="128"/>
    </row>
    <row r="188" spans="2:11">
      <c r="B188" s="115" t="str">
        <f t="shared" si="2"/>
        <v/>
      </c>
      <c r="C188" s="117">
        <v>181</v>
      </c>
      <c r="D188" s="125"/>
      <c r="E188" s="264"/>
      <c r="F188" s="126"/>
      <c r="G188" s="238"/>
      <c r="H188" s="125"/>
      <c r="I188" s="126"/>
      <c r="J188" s="127"/>
      <c r="K188" s="128"/>
    </row>
    <row r="189" spans="2:11">
      <c r="B189" s="115" t="str">
        <f t="shared" si="2"/>
        <v/>
      </c>
      <c r="C189" s="117">
        <v>182</v>
      </c>
      <c r="D189" s="125"/>
      <c r="E189" s="264"/>
      <c r="F189" s="126"/>
      <c r="G189" s="238"/>
      <c r="H189" s="125"/>
      <c r="I189" s="126"/>
      <c r="J189" s="127"/>
      <c r="K189" s="128"/>
    </row>
    <row r="190" spans="2:11">
      <c r="B190" s="115" t="str">
        <f t="shared" si="2"/>
        <v/>
      </c>
      <c r="C190" s="117">
        <v>183</v>
      </c>
      <c r="D190" s="125"/>
      <c r="E190" s="264"/>
      <c r="F190" s="126"/>
      <c r="G190" s="238"/>
      <c r="H190" s="125"/>
      <c r="I190" s="126"/>
      <c r="J190" s="127"/>
      <c r="K190" s="128"/>
    </row>
    <row r="191" spans="2:11">
      <c r="B191" s="115" t="str">
        <f t="shared" si="2"/>
        <v/>
      </c>
      <c r="C191" s="117">
        <v>184</v>
      </c>
      <c r="D191" s="125"/>
      <c r="E191" s="264"/>
      <c r="F191" s="126"/>
      <c r="G191" s="238"/>
      <c r="H191" s="125"/>
      <c r="I191" s="126"/>
      <c r="J191" s="127"/>
      <c r="K191" s="128"/>
    </row>
    <row r="192" spans="2:11">
      <c r="B192" s="115" t="str">
        <f t="shared" si="2"/>
        <v/>
      </c>
      <c r="C192" s="117">
        <v>185</v>
      </c>
      <c r="D192" s="125"/>
      <c r="E192" s="264"/>
      <c r="F192" s="126"/>
      <c r="G192" s="238"/>
      <c r="H192" s="125"/>
      <c r="I192" s="126"/>
      <c r="J192" s="127"/>
      <c r="K192" s="128"/>
    </row>
    <row r="193" spans="2:11">
      <c r="B193" s="115" t="str">
        <f t="shared" si="2"/>
        <v/>
      </c>
      <c r="C193" s="117">
        <v>186</v>
      </c>
      <c r="D193" s="125"/>
      <c r="E193" s="264"/>
      <c r="F193" s="126"/>
      <c r="G193" s="238"/>
      <c r="H193" s="125"/>
      <c r="I193" s="126"/>
      <c r="J193" s="127"/>
      <c r="K193" s="128"/>
    </row>
    <row r="194" spans="2:11">
      <c r="B194" s="115" t="str">
        <f t="shared" si="2"/>
        <v/>
      </c>
      <c r="C194" s="117">
        <v>187</v>
      </c>
      <c r="D194" s="125"/>
      <c r="E194" s="264"/>
      <c r="F194" s="126"/>
      <c r="G194" s="238"/>
      <c r="H194" s="125"/>
      <c r="I194" s="126"/>
      <c r="J194" s="127"/>
      <c r="K194" s="128"/>
    </row>
    <row r="195" spans="2:11">
      <c r="B195" s="115" t="str">
        <f t="shared" si="2"/>
        <v/>
      </c>
      <c r="C195" s="117">
        <v>188</v>
      </c>
      <c r="D195" s="125"/>
      <c r="E195" s="264"/>
      <c r="F195" s="126"/>
      <c r="G195" s="238"/>
      <c r="H195" s="125"/>
      <c r="I195" s="126"/>
      <c r="J195" s="127"/>
      <c r="K195" s="128"/>
    </row>
    <row r="196" spans="2:11">
      <c r="B196" s="115" t="str">
        <f t="shared" si="2"/>
        <v/>
      </c>
      <c r="C196" s="117">
        <v>189</v>
      </c>
      <c r="D196" s="125"/>
      <c r="E196" s="264"/>
      <c r="F196" s="126"/>
      <c r="G196" s="238"/>
      <c r="H196" s="125"/>
      <c r="I196" s="126"/>
      <c r="J196" s="127"/>
      <c r="K196" s="128"/>
    </row>
    <row r="197" spans="2:11">
      <c r="B197" s="115" t="str">
        <f t="shared" si="2"/>
        <v/>
      </c>
      <c r="C197" s="117">
        <v>190</v>
      </c>
      <c r="D197" s="125"/>
      <c r="E197" s="264"/>
      <c r="F197" s="126"/>
      <c r="G197" s="238"/>
      <c r="H197" s="125"/>
      <c r="I197" s="126"/>
      <c r="J197" s="127"/>
      <c r="K197" s="128"/>
    </row>
    <row r="198" spans="2:11">
      <c r="B198" s="115" t="str">
        <f t="shared" si="2"/>
        <v/>
      </c>
      <c r="C198" s="117">
        <v>191</v>
      </c>
      <c r="D198" s="125"/>
      <c r="E198" s="264"/>
      <c r="F198" s="126"/>
      <c r="G198" s="238"/>
      <c r="H198" s="125"/>
      <c r="I198" s="126"/>
      <c r="J198" s="127"/>
      <c r="K198" s="128"/>
    </row>
    <row r="199" spans="2:11">
      <c r="B199" s="115" t="str">
        <f t="shared" si="2"/>
        <v/>
      </c>
      <c r="C199" s="117">
        <v>192</v>
      </c>
      <c r="D199" s="125"/>
      <c r="E199" s="264"/>
      <c r="F199" s="126"/>
      <c r="G199" s="238"/>
      <c r="H199" s="125"/>
      <c r="I199" s="126"/>
      <c r="J199" s="127"/>
      <c r="K199" s="128"/>
    </row>
    <row r="200" spans="2:11">
      <c r="B200" s="115" t="str">
        <f t="shared" si="2"/>
        <v/>
      </c>
      <c r="C200" s="117">
        <v>193</v>
      </c>
      <c r="D200" s="125"/>
      <c r="E200" s="264"/>
      <c r="F200" s="126"/>
      <c r="G200" s="238"/>
      <c r="H200" s="125"/>
      <c r="I200" s="126"/>
      <c r="J200" s="127"/>
      <c r="K200" s="128"/>
    </row>
    <row r="201" spans="2:11">
      <c r="B201" s="115" t="str">
        <f t="shared" ref="B201:B264" si="3">CONCATENATE(E201,G201)</f>
        <v/>
      </c>
      <c r="C201" s="117">
        <v>194</v>
      </c>
      <c r="D201" s="125"/>
      <c r="E201" s="264"/>
      <c r="F201" s="126"/>
      <c r="G201" s="238"/>
      <c r="H201" s="125"/>
      <c r="I201" s="126"/>
      <c r="J201" s="127"/>
      <c r="K201" s="128"/>
    </row>
    <row r="202" spans="2:11">
      <c r="B202" s="115" t="str">
        <f t="shared" si="3"/>
        <v/>
      </c>
      <c r="C202" s="117">
        <v>195</v>
      </c>
      <c r="D202" s="125"/>
      <c r="E202" s="264"/>
      <c r="F202" s="126"/>
      <c r="G202" s="238"/>
      <c r="H202" s="125"/>
      <c r="I202" s="126"/>
      <c r="J202" s="127"/>
      <c r="K202" s="128"/>
    </row>
    <row r="203" spans="2:11">
      <c r="B203" s="115" t="str">
        <f t="shared" si="3"/>
        <v/>
      </c>
      <c r="C203" s="117">
        <v>196</v>
      </c>
      <c r="D203" s="125"/>
      <c r="E203" s="264"/>
      <c r="F203" s="126"/>
      <c r="G203" s="238"/>
      <c r="H203" s="125"/>
      <c r="I203" s="126"/>
      <c r="J203" s="127"/>
      <c r="K203" s="128"/>
    </row>
    <row r="204" spans="2:11">
      <c r="B204" s="115" t="str">
        <f t="shared" si="3"/>
        <v/>
      </c>
      <c r="C204" s="117">
        <v>197</v>
      </c>
      <c r="D204" s="125"/>
      <c r="E204" s="264"/>
      <c r="F204" s="126"/>
      <c r="G204" s="238"/>
      <c r="H204" s="125"/>
      <c r="I204" s="126"/>
      <c r="J204" s="127"/>
      <c r="K204" s="128"/>
    </row>
    <row r="205" spans="2:11">
      <c r="B205" s="115" t="str">
        <f t="shared" si="3"/>
        <v/>
      </c>
      <c r="C205" s="117">
        <v>198</v>
      </c>
      <c r="D205" s="125"/>
      <c r="E205" s="264"/>
      <c r="F205" s="126"/>
      <c r="G205" s="238"/>
      <c r="H205" s="125"/>
      <c r="I205" s="126"/>
      <c r="J205" s="127"/>
      <c r="K205" s="128"/>
    </row>
    <row r="206" spans="2:11">
      <c r="B206" s="115" t="str">
        <f t="shared" si="3"/>
        <v/>
      </c>
      <c r="C206" s="117">
        <v>199</v>
      </c>
      <c r="D206" s="125"/>
      <c r="E206" s="264"/>
      <c r="F206" s="126"/>
      <c r="G206" s="238"/>
      <c r="H206" s="125"/>
      <c r="I206" s="126"/>
      <c r="J206" s="127"/>
      <c r="K206" s="128"/>
    </row>
    <row r="207" spans="2:11">
      <c r="B207" s="115" t="str">
        <f t="shared" si="3"/>
        <v/>
      </c>
      <c r="C207" s="117">
        <v>200</v>
      </c>
      <c r="D207" s="125"/>
      <c r="E207" s="264"/>
      <c r="F207" s="126"/>
      <c r="G207" s="238"/>
      <c r="H207" s="125"/>
      <c r="I207" s="126"/>
      <c r="J207" s="127"/>
      <c r="K207" s="128"/>
    </row>
    <row r="208" spans="2:11">
      <c r="B208" s="115" t="str">
        <f t="shared" si="3"/>
        <v/>
      </c>
      <c r="C208" s="117">
        <v>201</v>
      </c>
      <c r="D208" s="125"/>
      <c r="E208" s="264"/>
      <c r="F208" s="126"/>
      <c r="G208" s="238"/>
      <c r="H208" s="125"/>
      <c r="I208" s="126"/>
      <c r="J208" s="127"/>
      <c r="K208" s="128"/>
    </row>
    <row r="209" spans="2:11">
      <c r="B209" s="115" t="str">
        <f t="shared" si="3"/>
        <v/>
      </c>
      <c r="C209" s="117">
        <v>202</v>
      </c>
      <c r="D209" s="125"/>
      <c r="E209" s="264"/>
      <c r="F209" s="126"/>
      <c r="G209" s="238"/>
      <c r="H209" s="125"/>
      <c r="I209" s="126"/>
      <c r="J209" s="127"/>
      <c r="K209" s="128"/>
    </row>
    <row r="210" spans="2:11">
      <c r="B210" s="115" t="str">
        <f t="shared" si="3"/>
        <v/>
      </c>
      <c r="C210" s="117">
        <v>203</v>
      </c>
      <c r="D210" s="125"/>
      <c r="E210" s="264"/>
      <c r="F210" s="126"/>
      <c r="G210" s="238"/>
      <c r="H210" s="125"/>
      <c r="I210" s="126"/>
      <c r="J210" s="127"/>
      <c r="K210" s="128"/>
    </row>
    <row r="211" spans="2:11">
      <c r="B211" s="115" t="str">
        <f t="shared" si="3"/>
        <v/>
      </c>
      <c r="C211" s="117">
        <v>204</v>
      </c>
      <c r="D211" s="125"/>
      <c r="E211" s="264"/>
      <c r="F211" s="126"/>
      <c r="G211" s="238"/>
      <c r="H211" s="125"/>
      <c r="I211" s="126"/>
      <c r="J211" s="127"/>
      <c r="K211" s="128"/>
    </row>
    <row r="212" spans="2:11">
      <c r="B212" s="115" t="str">
        <f t="shared" si="3"/>
        <v/>
      </c>
      <c r="C212" s="117">
        <v>205</v>
      </c>
      <c r="D212" s="125"/>
      <c r="E212" s="264"/>
      <c r="F212" s="126"/>
      <c r="G212" s="238"/>
      <c r="H212" s="125"/>
      <c r="I212" s="126"/>
      <c r="J212" s="127"/>
      <c r="K212" s="128"/>
    </row>
    <row r="213" spans="2:11">
      <c r="B213" s="115" t="str">
        <f t="shared" si="3"/>
        <v/>
      </c>
      <c r="C213" s="117">
        <v>206</v>
      </c>
      <c r="D213" s="125"/>
      <c r="E213" s="264"/>
      <c r="F213" s="126"/>
      <c r="G213" s="238"/>
      <c r="H213" s="125"/>
      <c r="I213" s="126"/>
      <c r="J213" s="127"/>
      <c r="K213" s="128"/>
    </row>
    <row r="214" spans="2:11">
      <c r="B214" s="115" t="str">
        <f t="shared" si="3"/>
        <v/>
      </c>
      <c r="C214" s="117">
        <v>207</v>
      </c>
      <c r="D214" s="125"/>
      <c r="E214" s="264"/>
      <c r="F214" s="126"/>
      <c r="G214" s="238"/>
      <c r="H214" s="125"/>
      <c r="I214" s="126"/>
      <c r="J214" s="127"/>
      <c r="K214" s="128"/>
    </row>
    <row r="215" spans="2:11">
      <c r="B215" s="115" t="str">
        <f t="shared" si="3"/>
        <v/>
      </c>
      <c r="C215" s="117">
        <v>208</v>
      </c>
      <c r="D215" s="125"/>
      <c r="E215" s="264"/>
      <c r="F215" s="126"/>
      <c r="G215" s="238"/>
      <c r="H215" s="125"/>
      <c r="I215" s="126"/>
      <c r="J215" s="127"/>
      <c r="K215" s="128"/>
    </row>
    <row r="216" spans="2:11">
      <c r="B216" s="115" t="str">
        <f t="shared" si="3"/>
        <v/>
      </c>
      <c r="C216" s="117">
        <v>209</v>
      </c>
      <c r="D216" s="125"/>
      <c r="E216" s="264"/>
      <c r="F216" s="126"/>
      <c r="G216" s="238"/>
      <c r="H216" s="125"/>
      <c r="I216" s="126"/>
      <c r="J216" s="127"/>
      <c r="K216" s="128"/>
    </row>
    <row r="217" spans="2:11">
      <c r="B217" s="115" t="str">
        <f t="shared" si="3"/>
        <v/>
      </c>
      <c r="C217" s="117">
        <v>210</v>
      </c>
      <c r="D217" s="125"/>
      <c r="E217" s="264"/>
      <c r="F217" s="126"/>
      <c r="G217" s="238"/>
      <c r="H217" s="125"/>
      <c r="I217" s="126"/>
      <c r="J217" s="127"/>
      <c r="K217" s="128"/>
    </row>
    <row r="218" spans="2:11">
      <c r="B218" s="115" t="str">
        <f t="shared" si="3"/>
        <v/>
      </c>
      <c r="C218" s="117">
        <v>211</v>
      </c>
      <c r="D218" s="125"/>
      <c r="E218" s="264"/>
      <c r="F218" s="126"/>
      <c r="G218" s="238"/>
      <c r="H218" s="125"/>
      <c r="I218" s="126"/>
      <c r="J218" s="127"/>
      <c r="K218" s="128"/>
    </row>
    <row r="219" spans="2:11">
      <c r="B219" s="115" t="str">
        <f t="shared" si="3"/>
        <v/>
      </c>
      <c r="C219" s="117">
        <v>212</v>
      </c>
      <c r="D219" s="125"/>
      <c r="E219" s="264"/>
      <c r="F219" s="126"/>
      <c r="G219" s="238"/>
      <c r="H219" s="125"/>
      <c r="I219" s="126"/>
      <c r="J219" s="127"/>
      <c r="K219" s="128"/>
    </row>
    <row r="220" spans="2:11">
      <c r="B220" s="115" t="str">
        <f t="shared" si="3"/>
        <v/>
      </c>
      <c r="C220" s="117">
        <v>213</v>
      </c>
      <c r="D220" s="125"/>
      <c r="E220" s="264"/>
      <c r="F220" s="126"/>
      <c r="G220" s="238"/>
      <c r="H220" s="125"/>
      <c r="I220" s="126"/>
      <c r="J220" s="127"/>
      <c r="K220" s="128"/>
    </row>
    <row r="221" spans="2:11">
      <c r="B221" s="115" t="str">
        <f t="shared" si="3"/>
        <v/>
      </c>
      <c r="C221" s="117">
        <v>214</v>
      </c>
      <c r="D221" s="125"/>
      <c r="E221" s="264"/>
      <c r="F221" s="126"/>
      <c r="G221" s="238"/>
      <c r="H221" s="125"/>
      <c r="I221" s="126"/>
      <c r="J221" s="127"/>
      <c r="K221" s="128"/>
    </row>
    <row r="222" spans="2:11">
      <c r="B222" s="115" t="str">
        <f t="shared" si="3"/>
        <v/>
      </c>
      <c r="C222" s="117">
        <v>215</v>
      </c>
      <c r="D222" s="125"/>
      <c r="E222" s="264"/>
      <c r="F222" s="126"/>
      <c r="G222" s="238"/>
      <c r="H222" s="125"/>
      <c r="I222" s="126"/>
      <c r="J222" s="127"/>
      <c r="K222" s="128"/>
    </row>
    <row r="223" spans="2:11">
      <c r="B223" s="115" t="str">
        <f t="shared" si="3"/>
        <v/>
      </c>
      <c r="C223" s="117">
        <v>216</v>
      </c>
      <c r="D223" s="125"/>
      <c r="E223" s="264"/>
      <c r="F223" s="126"/>
      <c r="G223" s="238"/>
      <c r="H223" s="125"/>
      <c r="I223" s="126"/>
      <c r="J223" s="127"/>
      <c r="K223" s="128"/>
    </row>
    <row r="224" spans="2:11">
      <c r="B224" s="115" t="str">
        <f t="shared" si="3"/>
        <v/>
      </c>
      <c r="C224" s="117">
        <v>217</v>
      </c>
      <c r="D224" s="125"/>
      <c r="E224" s="264"/>
      <c r="F224" s="126"/>
      <c r="G224" s="238"/>
      <c r="H224" s="125"/>
      <c r="I224" s="126"/>
      <c r="J224" s="127"/>
      <c r="K224" s="128"/>
    </row>
    <row r="225" spans="2:11">
      <c r="B225" s="115" t="str">
        <f t="shared" si="3"/>
        <v/>
      </c>
      <c r="C225" s="117">
        <v>218</v>
      </c>
      <c r="D225" s="125"/>
      <c r="E225" s="264"/>
      <c r="F225" s="126"/>
      <c r="G225" s="238"/>
      <c r="H225" s="125"/>
      <c r="I225" s="126"/>
      <c r="J225" s="127"/>
      <c r="K225" s="128"/>
    </row>
    <row r="226" spans="2:11">
      <c r="B226" s="115" t="str">
        <f t="shared" si="3"/>
        <v/>
      </c>
      <c r="C226" s="117">
        <v>219</v>
      </c>
      <c r="D226" s="125"/>
      <c r="E226" s="264"/>
      <c r="F226" s="126"/>
      <c r="G226" s="238"/>
      <c r="H226" s="125"/>
      <c r="I226" s="126"/>
      <c r="J226" s="127"/>
      <c r="K226" s="128"/>
    </row>
    <row r="227" spans="2:11">
      <c r="B227" s="115" t="str">
        <f t="shared" si="3"/>
        <v/>
      </c>
      <c r="C227" s="117">
        <v>220</v>
      </c>
      <c r="D227" s="125"/>
      <c r="E227" s="264"/>
      <c r="F227" s="126"/>
      <c r="G227" s="238"/>
      <c r="H227" s="125"/>
      <c r="I227" s="126"/>
      <c r="J227" s="127"/>
      <c r="K227" s="128"/>
    </row>
    <row r="228" spans="2:11">
      <c r="B228" s="115" t="str">
        <f t="shared" si="3"/>
        <v/>
      </c>
      <c r="C228" s="117">
        <v>221</v>
      </c>
      <c r="D228" s="125"/>
      <c r="E228" s="264"/>
      <c r="F228" s="126"/>
      <c r="G228" s="238"/>
      <c r="H228" s="125"/>
      <c r="I228" s="126"/>
      <c r="J228" s="127"/>
      <c r="K228" s="128"/>
    </row>
    <row r="229" spans="2:11">
      <c r="B229" s="115" t="str">
        <f t="shared" si="3"/>
        <v/>
      </c>
      <c r="C229" s="117">
        <v>222</v>
      </c>
      <c r="D229" s="125"/>
      <c r="E229" s="264"/>
      <c r="F229" s="126"/>
      <c r="G229" s="238"/>
      <c r="H229" s="125"/>
      <c r="I229" s="126"/>
      <c r="J229" s="127"/>
      <c r="K229" s="128"/>
    </row>
    <row r="230" spans="2:11">
      <c r="B230" s="115" t="str">
        <f t="shared" si="3"/>
        <v/>
      </c>
      <c r="C230" s="117">
        <v>223</v>
      </c>
      <c r="D230" s="125"/>
      <c r="E230" s="264"/>
      <c r="F230" s="126"/>
      <c r="G230" s="238"/>
      <c r="H230" s="125"/>
      <c r="I230" s="126"/>
      <c r="J230" s="127"/>
      <c r="K230" s="128"/>
    </row>
    <row r="231" spans="2:11">
      <c r="B231" s="115" t="str">
        <f t="shared" si="3"/>
        <v/>
      </c>
      <c r="C231" s="117">
        <v>224</v>
      </c>
      <c r="D231" s="125"/>
      <c r="E231" s="264"/>
      <c r="F231" s="126"/>
      <c r="G231" s="238"/>
      <c r="H231" s="125"/>
      <c r="I231" s="126"/>
      <c r="J231" s="127"/>
      <c r="K231" s="128"/>
    </row>
    <row r="232" spans="2:11">
      <c r="B232" s="115" t="str">
        <f t="shared" si="3"/>
        <v/>
      </c>
      <c r="C232" s="117">
        <v>225</v>
      </c>
      <c r="D232" s="125"/>
      <c r="E232" s="264"/>
      <c r="F232" s="126"/>
      <c r="G232" s="238"/>
      <c r="H232" s="125"/>
      <c r="I232" s="126"/>
      <c r="J232" s="127"/>
      <c r="K232" s="128"/>
    </row>
    <row r="233" spans="2:11">
      <c r="B233" s="115" t="str">
        <f t="shared" si="3"/>
        <v/>
      </c>
      <c r="C233" s="117">
        <v>226</v>
      </c>
      <c r="D233" s="125"/>
      <c r="E233" s="264"/>
      <c r="F233" s="126"/>
      <c r="G233" s="238"/>
      <c r="H233" s="125"/>
      <c r="I233" s="126"/>
      <c r="J233" s="127"/>
      <c r="K233" s="128"/>
    </row>
    <row r="234" spans="2:11">
      <c r="B234" s="115" t="str">
        <f t="shared" si="3"/>
        <v/>
      </c>
      <c r="C234" s="117">
        <v>227</v>
      </c>
      <c r="D234" s="125"/>
      <c r="E234" s="264"/>
      <c r="F234" s="126"/>
      <c r="G234" s="238"/>
      <c r="H234" s="125"/>
      <c r="I234" s="126"/>
      <c r="J234" s="127"/>
      <c r="K234" s="128"/>
    </row>
    <row r="235" spans="2:11">
      <c r="B235" s="115" t="str">
        <f t="shared" si="3"/>
        <v/>
      </c>
      <c r="C235" s="117">
        <v>228</v>
      </c>
      <c r="D235" s="125"/>
      <c r="E235" s="264"/>
      <c r="F235" s="126"/>
      <c r="G235" s="238"/>
      <c r="H235" s="125"/>
      <c r="I235" s="126"/>
      <c r="J235" s="127"/>
      <c r="K235" s="128"/>
    </row>
    <row r="236" spans="2:11">
      <c r="B236" s="115" t="str">
        <f t="shared" si="3"/>
        <v/>
      </c>
      <c r="C236" s="117">
        <v>229</v>
      </c>
      <c r="D236" s="125"/>
      <c r="E236" s="264"/>
      <c r="F236" s="126"/>
      <c r="G236" s="238"/>
      <c r="H236" s="125"/>
      <c r="I236" s="126"/>
      <c r="J236" s="127"/>
      <c r="K236" s="128"/>
    </row>
    <row r="237" spans="2:11">
      <c r="B237" s="115" t="str">
        <f t="shared" si="3"/>
        <v/>
      </c>
      <c r="C237" s="117">
        <v>230</v>
      </c>
      <c r="D237" s="125"/>
      <c r="E237" s="264"/>
      <c r="F237" s="126"/>
      <c r="G237" s="238"/>
      <c r="H237" s="125"/>
      <c r="I237" s="126"/>
      <c r="J237" s="127"/>
      <c r="K237" s="128"/>
    </row>
    <row r="238" spans="2:11">
      <c r="B238" s="115" t="str">
        <f t="shared" si="3"/>
        <v/>
      </c>
      <c r="C238" s="117">
        <v>231</v>
      </c>
      <c r="D238" s="125"/>
      <c r="E238" s="264"/>
      <c r="F238" s="126"/>
      <c r="G238" s="238"/>
      <c r="H238" s="125"/>
      <c r="I238" s="126"/>
      <c r="J238" s="127"/>
      <c r="K238" s="128"/>
    </row>
    <row r="239" spans="2:11">
      <c r="B239" s="115" t="str">
        <f t="shared" si="3"/>
        <v/>
      </c>
      <c r="C239" s="117">
        <v>232</v>
      </c>
      <c r="D239" s="125"/>
      <c r="E239" s="264"/>
      <c r="F239" s="126"/>
      <c r="G239" s="238"/>
      <c r="H239" s="125"/>
      <c r="I239" s="126"/>
      <c r="J239" s="127"/>
      <c r="K239" s="128"/>
    </row>
    <row r="240" spans="2:11">
      <c r="B240" s="115" t="str">
        <f t="shared" si="3"/>
        <v/>
      </c>
      <c r="C240" s="117">
        <v>233</v>
      </c>
      <c r="D240" s="125"/>
      <c r="E240" s="264"/>
      <c r="F240" s="126"/>
      <c r="G240" s="238"/>
      <c r="H240" s="125"/>
      <c r="I240" s="126"/>
      <c r="J240" s="127"/>
      <c r="K240" s="128"/>
    </row>
    <row r="241" spans="2:11">
      <c r="B241" s="115" t="str">
        <f t="shared" si="3"/>
        <v/>
      </c>
      <c r="C241" s="117">
        <v>234</v>
      </c>
      <c r="D241" s="125"/>
      <c r="E241" s="264"/>
      <c r="F241" s="126"/>
      <c r="G241" s="238"/>
      <c r="H241" s="125"/>
      <c r="I241" s="126"/>
      <c r="J241" s="127"/>
      <c r="K241" s="128"/>
    </row>
    <row r="242" spans="2:11">
      <c r="B242" s="115" t="str">
        <f t="shared" si="3"/>
        <v/>
      </c>
      <c r="C242" s="117">
        <v>235</v>
      </c>
      <c r="D242" s="125"/>
      <c r="E242" s="264"/>
      <c r="F242" s="126"/>
      <c r="G242" s="238"/>
      <c r="H242" s="125"/>
      <c r="I242" s="126"/>
      <c r="J242" s="127"/>
      <c r="K242" s="128"/>
    </row>
    <row r="243" spans="2:11">
      <c r="B243" s="115" t="str">
        <f t="shared" si="3"/>
        <v/>
      </c>
      <c r="C243" s="117">
        <v>236</v>
      </c>
      <c r="D243" s="125"/>
      <c r="E243" s="264"/>
      <c r="F243" s="126"/>
      <c r="G243" s="238"/>
      <c r="H243" s="125"/>
      <c r="I243" s="126"/>
      <c r="J243" s="127"/>
      <c r="K243" s="128"/>
    </row>
    <row r="244" spans="2:11">
      <c r="B244" s="115" t="str">
        <f t="shared" si="3"/>
        <v/>
      </c>
      <c r="C244" s="117">
        <v>237</v>
      </c>
      <c r="D244" s="125"/>
      <c r="E244" s="264"/>
      <c r="F244" s="126"/>
      <c r="G244" s="238"/>
      <c r="H244" s="125"/>
      <c r="I244" s="126"/>
      <c r="J244" s="127"/>
      <c r="K244" s="128"/>
    </row>
    <row r="245" spans="2:11">
      <c r="B245" s="115" t="str">
        <f t="shared" si="3"/>
        <v/>
      </c>
      <c r="C245" s="117">
        <v>238</v>
      </c>
      <c r="D245" s="125"/>
      <c r="E245" s="264"/>
      <c r="F245" s="126"/>
      <c r="G245" s="238"/>
      <c r="H245" s="125"/>
      <c r="I245" s="126"/>
      <c r="J245" s="127"/>
      <c r="K245" s="128"/>
    </row>
    <row r="246" spans="2:11">
      <c r="B246" s="115" t="str">
        <f t="shared" si="3"/>
        <v/>
      </c>
      <c r="C246" s="117">
        <v>239</v>
      </c>
      <c r="D246" s="125"/>
      <c r="E246" s="264"/>
      <c r="F246" s="126"/>
      <c r="G246" s="238"/>
      <c r="H246" s="125"/>
      <c r="I246" s="126"/>
      <c r="J246" s="127"/>
      <c r="K246" s="128"/>
    </row>
    <row r="247" spans="2:11">
      <c r="B247" s="115" t="str">
        <f t="shared" si="3"/>
        <v/>
      </c>
      <c r="C247" s="117">
        <v>240</v>
      </c>
      <c r="D247" s="125"/>
      <c r="E247" s="264"/>
      <c r="F247" s="126"/>
      <c r="G247" s="238"/>
      <c r="H247" s="125"/>
      <c r="I247" s="126"/>
      <c r="J247" s="127"/>
      <c r="K247" s="128"/>
    </row>
    <row r="248" spans="2:11">
      <c r="B248" s="115" t="str">
        <f t="shared" si="3"/>
        <v/>
      </c>
      <c r="C248" s="117">
        <v>241</v>
      </c>
      <c r="D248" s="125"/>
      <c r="E248" s="264"/>
      <c r="F248" s="126"/>
      <c r="G248" s="238"/>
      <c r="H248" s="125"/>
      <c r="I248" s="126"/>
      <c r="J248" s="127"/>
      <c r="K248" s="128"/>
    </row>
    <row r="249" spans="2:11">
      <c r="B249" s="115" t="str">
        <f t="shared" si="3"/>
        <v/>
      </c>
      <c r="C249" s="117">
        <v>242</v>
      </c>
      <c r="D249" s="125"/>
      <c r="E249" s="264"/>
      <c r="F249" s="126"/>
      <c r="G249" s="238"/>
      <c r="H249" s="125"/>
      <c r="I249" s="126"/>
      <c r="J249" s="127"/>
      <c r="K249" s="128"/>
    </row>
    <row r="250" spans="2:11">
      <c r="B250" s="115" t="str">
        <f t="shared" si="3"/>
        <v/>
      </c>
      <c r="C250" s="117">
        <v>243</v>
      </c>
      <c r="D250" s="125"/>
      <c r="E250" s="264"/>
      <c r="F250" s="126"/>
      <c r="G250" s="238"/>
      <c r="H250" s="125"/>
      <c r="I250" s="126"/>
      <c r="J250" s="127"/>
      <c r="K250" s="128"/>
    </row>
    <row r="251" spans="2:11">
      <c r="B251" s="115" t="str">
        <f t="shared" si="3"/>
        <v/>
      </c>
      <c r="C251" s="117">
        <v>244</v>
      </c>
      <c r="D251" s="125"/>
      <c r="E251" s="264"/>
      <c r="F251" s="126"/>
      <c r="G251" s="238"/>
      <c r="H251" s="125"/>
      <c r="I251" s="126"/>
      <c r="J251" s="127"/>
      <c r="K251" s="128"/>
    </row>
    <row r="252" spans="2:11">
      <c r="B252" s="115" t="str">
        <f t="shared" si="3"/>
        <v/>
      </c>
      <c r="C252" s="117">
        <v>245</v>
      </c>
      <c r="D252" s="125"/>
      <c r="E252" s="264"/>
      <c r="F252" s="126"/>
      <c r="G252" s="238"/>
      <c r="H252" s="125"/>
      <c r="I252" s="126"/>
      <c r="J252" s="127"/>
      <c r="K252" s="128"/>
    </row>
    <row r="253" spans="2:11">
      <c r="B253" s="115" t="str">
        <f t="shared" si="3"/>
        <v/>
      </c>
      <c r="C253" s="117">
        <v>246</v>
      </c>
      <c r="D253" s="125"/>
      <c r="E253" s="264"/>
      <c r="F253" s="126"/>
      <c r="G253" s="238"/>
      <c r="H253" s="125"/>
      <c r="I253" s="126"/>
      <c r="J253" s="127"/>
      <c r="K253" s="128"/>
    </row>
    <row r="254" spans="2:11">
      <c r="B254" s="115" t="str">
        <f t="shared" si="3"/>
        <v/>
      </c>
      <c r="C254" s="117">
        <v>247</v>
      </c>
      <c r="D254" s="125"/>
      <c r="E254" s="264"/>
      <c r="F254" s="126"/>
      <c r="G254" s="238"/>
      <c r="H254" s="125"/>
      <c r="I254" s="126"/>
      <c r="J254" s="127"/>
      <c r="K254" s="128"/>
    </row>
    <row r="255" spans="2:11">
      <c r="B255" s="115" t="str">
        <f t="shared" si="3"/>
        <v/>
      </c>
      <c r="C255" s="117">
        <v>248</v>
      </c>
      <c r="D255" s="125"/>
      <c r="E255" s="264"/>
      <c r="F255" s="126"/>
      <c r="G255" s="238"/>
      <c r="H255" s="125"/>
      <c r="I255" s="126"/>
      <c r="J255" s="127"/>
      <c r="K255" s="128"/>
    </row>
    <row r="256" spans="2:11">
      <c r="B256" s="115" t="str">
        <f t="shared" si="3"/>
        <v/>
      </c>
      <c r="C256" s="117">
        <v>249</v>
      </c>
      <c r="D256" s="125"/>
      <c r="E256" s="264"/>
      <c r="F256" s="126"/>
      <c r="G256" s="238"/>
      <c r="H256" s="125"/>
      <c r="I256" s="126"/>
      <c r="J256" s="127"/>
      <c r="K256" s="128"/>
    </row>
    <row r="257" spans="2:11">
      <c r="B257" s="115" t="str">
        <f t="shared" si="3"/>
        <v/>
      </c>
      <c r="C257" s="117">
        <v>250</v>
      </c>
      <c r="D257" s="125"/>
      <c r="E257" s="264"/>
      <c r="F257" s="126"/>
      <c r="G257" s="238"/>
      <c r="H257" s="125"/>
      <c r="I257" s="126"/>
      <c r="J257" s="127"/>
      <c r="K257" s="128"/>
    </row>
    <row r="258" spans="2:11">
      <c r="B258" s="115" t="str">
        <f t="shared" si="3"/>
        <v/>
      </c>
      <c r="C258" s="117">
        <v>251</v>
      </c>
      <c r="D258" s="125"/>
      <c r="E258" s="264"/>
      <c r="F258" s="126"/>
      <c r="G258" s="238"/>
      <c r="H258" s="125"/>
      <c r="I258" s="126"/>
      <c r="J258" s="127"/>
      <c r="K258" s="128"/>
    </row>
    <row r="259" spans="2:11">
      <c r="B259" s="115" t="str">
        <f t="shared" si="3"/>
        <v/>
      </c>
      <c r="C259" s="117">
        <v>252</v>
      </c>
      <c r="D259" s="125"/>
      <c r="E259" s="264"/>
      <c r="F259" s="126"/>
      <c r="G259" s="238"/>
      <c r="H259" s="125"/>
      <c r="I259" s="126"/>
      <c r="J259" s="127"/>
      <c r="K259" s="128"/>
    </row>
    <row r="260" spans="2:11">
      <c r="B260" s="115" t="str">
        <f t="shared" si="3"/>
        <v/>
      </c>
      <c r="C260" s="117">
        <v>253</v>
      </c>
      <c r="D260" s="125"/>
      <c r="E260" s="264"/>
      <c r="F260" s="126"/>
      <c r="G260" s="238"/>
      <c r="H260" s="125"/>
      <c r="I260" s="126"/>
      <c r="J260" s="127"/>
      <c r="K260" s="128"/>
    </row>
    <row r="261" spans="2:11">
      <c r="B261" s="115" t="str">
        <f t="shared" si="3"/>
        <v/>
      </c>
      <c r="C261" s="117">
        <v>254</v>
      </c>
      <c r="D261" s="125"/>
      <c r="E261" s="264"/>
      <c r="F261" s="126"/>
      <c r="G261" s="238"/>
      <c r="H261" s="125"/>
      <c r="I261" s="126"/>
      <c r="J261" s="127"/>
      <c r="K261" s="128"/>
    </row>
    <row r="262" spans="2:11">
      <c r="B262" s="115" t="str">
        <f t="shared" si="3"/>
        <v/>
      </c>
      <c r="C262" s="117">
        <v>255</v>
      </c>
      <c r="D262" s="125"/>
      <c r="E262" s="264"/>
      <c r="F262" s="126"/>
      <c r="G262" s="238"/>
      <c r="H262" s="125"/>
      <c r="I262" s="126"/>
      <c r="J262" s="127"/>
      <c r="K262" s="128"/>
    </row>
    <row r="263" spans="2:11">
      <c r="B263" s="115" t="str">
        <f t="shared" si="3"/>
        <v/>
      </c>
      <c r="C263" s="117">
        <v>256</v>
      </c>
      <c r="D263" s="125"/>
      <c r="E263" s="264"/>
      <c r="F263" s="126"/>
      <c r="G263" s="238"/>
      <c r="H263" s="125"/>
      <c r="I263" s="126"/>
      <c r="J263" s="127"/>
      <c r="K263" s="128"/>
    </row>
    <row r="264" spans="2:11">
      <c r="B264" s="115" t="str">
        <f t="shared" si="3"/>
        <v/>
      </c>
      <c r="C264" s="117">
        <v>257</v>
      </c>
      <c r="D264" s="125"/>
      <c r="E264" s="264"/>
      <c r="F264" s="126"/>
      <c r="G264" s="238"/>
      <c r="H264" s="125"/>
      <c r="I264" s="126"/>
      <c r="J264" s="127"/>
      <c r="K264" s="128"/>
    </row>
    <row r="265" spans="2:11">
      <c r="B265" s="115" t="str">
        <f t="shared" ref="B265:B320" si="4">CONCATENATE(E265,G265)</f>
        <v/>
      </c>
      <c r="C265" s="117">
        <v>258</v>
      </c>
      <c r="D265" s="125"/>
      <c r="E265" s="264"/>
      <c r="F265" s="126"/>
      <c r="G265" s="238"/>
      <c r="H265" s="125"/>
      <c r="I265" s="126"/>
      <c r="J265" s="127"/>
      <c r="K265" s="128"/>
    </row>
    <row r="266" spans="2:11">
      <c r="B266" s="115" t="str">
        <f t="shared" si="4"/>
        <v/>
      </c>
      <c r="C266" s="117">
        <v>259</v>
      </c>
      <c r="D266" s="125"/>
      <c r="E266" s="264"/>
      <c r="F266" s="126"/>
      <c r="G266" s="238"/>
      <c r="H266" s="125"/>
      <c r="I266" s="126"/>
      <c r="J266" s="127"/>
      <c r="K266" s="128"/>
    </row>
    <row r="267" spans="2:11">
      <c r="B267" s="115" t="str">
        <f t="shared" si="4"/>
        <v/>
      </c>
      <c r="C267" s="117">
        <v>260</v>
      </c>
      <c r="D267" s="125"/>
      <c r="E267" s="264"/>
      <c r="F267" s="126"/>
      <c r="G267" s="238"/>
      <c r="H267" s="125"/>
      <c r="I267" s="126"/>
      <c r="J267" s="127"/>
      <c r="K267" s="128"/>
    </row>
    <row r="268" spans="2:11">
      <c r="B268" s="115" t="str">
        <f t="shared" si="4"/>
        <v/>
      </c>
      <c r="C268" s="117">
        <v>261</v>
      </c>
      <c r="D268" s="125"/>
      <c r="E268" s="264"/>
      <c r="F268" s="126"/>
      <c r="G268" s="238"/>
      <c r="H268" s="125"/>
      <c r="I268" s="126"/>
      <c r="J268" s="127"/>
      <c r="K268" s="128"/>
    </row>
    <row r="269" spans="2:11">
      <c r="B269" s="115" t="str">
        <f t="shared" si="4"/>
        <v/>
      </c>
      <c r="C269" s="117">
        <v>262</v>
      </c>
      <c r="D269" s="125"/>
      <c r="E269" s="264"/>
      <c r="F269" s="126"/>
      <c r="G269" s="238"/>
      <c r="H269" s="125"/>
      <c r="I269" s="126"/>
      <c r="J269" s="127"/>
      <c r="K269" s="128"/>
    </row>
    <row r="270" spans="2:11">
      <c r="B270" s="115" t="str">
        <f t="shared" si="4"/>
        <v/>
      </c>
      <c r="C270" s="117">
        <v>263</v>
      </c>
      <c r="D270" s="125"/>
      <c r="E270" s="264"/>
      <c r="F270" s="126"/>
      <c r="G270" s="238"/>
      <c r="H270" s="125"/>
      <c r="I270" s="126"/>
      <c r="J270" s="127"/>
      <c r="K270" s="128"/>
    </row>
    <row r="271" spans="2:11">
      <c r="B271" s="115" t="str">
        <f t="shared" si="4"/>
        <v/>
      </c>
      <c r="C271" s="117">
        <v>264</v>
      </c>
      <c r="D271" s="125"/>
      <c r="E271" s="264"/>
      <c r="F271" s="126"/>
      <c r="G271" s="238"/>
      <c r="H271" s="125"/>
      <c r="I271" s="126"/>
      <c r="J271" s="127"/>
      <c r="K271" s="128"/>
    </row>
    <row r="272" spans="2:11">
      <c r="B272" s="115" t="str">
        <f t="shared" si="4"/>
        <v/>
      </c>
      <c r="C272" s="117">
        <v>265</v>
      </c>
      <c r="D272" s="125"/>
      <c r="E272" s="264"/>
      <c r="F272" s="126"/>
      <c r="G272" s="238"/>
      <c r="H272" s="125"/>
      <c r="I272" s="126"/>
      <c r="J272" s="127"/>
      <c r="K272" s="128"/>
    </row>
    <row r="273" spans="2:11">
      <c r="B273" s="115" t="str">
        <f t="shared" si="4"/>
        <v/>
      </c>
      <c r="C273" s="117">
        <v>266</v>
      </c>
      <c r="D273" s="125"/>
      <c r="E273" s="264"/>
      <c r="F273" s="126"/>
      <c r="G273" s="238"/>
      <c r="H273" s="125"/>
      <c r="I273" s="126"/>
      <c r="J273" s="127"/>
      <c r="K273" s="128"/>
    </row>
    <row r="274" spans="2:11">
      <c r="B274" s="115" t="str">
        <f t="shared" si="4"/>
        <v/>
      </c>
      <c r="C274" s="117">
        <v>267</v>
      </c>
      <c r="D274" s="125"/>
      <c r="E274" s="264"/>
      <c r="F274" s="126"/>
      <c r="G274" s="238"/>
      <c r="H274" s="125"/>
      <c r="I274" s="126"/>
      <c r="J274" s="127"/>
      <c r="K274" s="128"/>
    </row>
    <row r="275" spans="2:11">
      <c r="B275" s="115" t="str">
        <f t="shared" si="4"/>
        <v/>
      </c>
      <c r="C275" s="117">
        <v>268</v>
      </c>
      <c r="D275" s="125"/>
      <c r="E275" s="264"/>
      <c r="F275" s="126"/>
      <c r="G275" s="238"/>
      <c r="H275" s="125"/>
      <c r="I275" s="126"/>
      <c r="J275" s="127"/>
      <c r="K275" s="128"/>
    </row>
    <row r="276" spans="2:11">
      <c r="B276" s="115" t="str">
        <f t="shared" si="4"/>
        <v/>
      </c>
      <c r="C276" s="117">
        <v>269</v>
      </c>
      <c r="D276" s="125"/>
      <c r="E276" s="264"/>
      <c r="F276" s="126"/>
      <c r="G276" s="238"/>
      <c r="H276" s="125"/>
      <c r="I276" s="126"/>
      <c r="J276" s="127"/>
      <c r="K276" s="128"/>
    </row>
    <row r="277" spans="2:11">
      <c r="B277" s="115" t="str">
        <f t="shared" si="4"/>
        <v/>
      </c>
      <c r="C277" s="117">
        <v>270</v>
      </c>
      <c r="D277" s="125"/>
      <c r="E277" s="264"/>
      <c r="F277" s="126"/>
      <c r="G277" s="238"/>
      <c r="H277" s="125"/>
      <c r="I277" s="126"/>
      <c r="J277" s="127"/>
      <c r="K277" s="128"/>
    </row>
    <row r="278" spans="2:11">
      <c r="B278" s="115" t="str">
        <f t="shared" si="4"/>
        <v/>
      </c>
      <c r="C278" s="117">
        <v>271</v>
      </c>
      <c r="D278" s="125"/>
      <c r="E278" s="264"/>
      <c r="F278" s="126"/>
      <c r="G278" s="238"/>
      <c r="H278" s="125"/>
      <c r="I278" s="126"/>
      <c r="J278" s="127"/>
      <c r="K278" s="128"/>
    </row>
    <row r="279" spans="2:11">
      <c r="B279" s="115" t="str">
        <f t="shared" si="4"/>
        <v/>
      </c>
      <c r="C279" s="117">
        <v>272</v>
      </c>
      <c r="D279" s="125"/>
      <c r="E279" s="264"/>
      <c r="F279" s="126"/>
      <c r="G279" s="238"/>
      <c r="H279" s="125"/>
      <c r="I279" s="126"/>
      <c r="J279" s="127"/>
      <c r="K279" s="128"/>
    </row>
    <row r="280" spans="2:11">
      <c r="B280" s="115" t="str">
        <f t="shared" si="4"/>
        <v/>
      </c>
      <c r="C280" s="117">
        <v>273</v>
      </c>
      <c r="D280" s="125"/>
      <c r="E280" s="264"/>
      <c r="F280" s="126"/>
      <c r="G280" s="238"/>
      <c r="H280" s="125"/>
      <c r="I280" s="126"/>
      <c r="J280" s="127"/>
      <c r="K280" s="128"/>
    </row>
    <row r="281" spans="2:11">
      <c r="B281" s="115" t="str">
        <f t="shared" si="4"/>
        <v/>
      </c>
      <c r="C281" s="117">
        <v>274</v>
      </c>
      <c r="D281" s="125"/>
      <c r="E281" s="264"/>
      <c r="F281" s="126"/>
      <c r="G281" s="238"/>
      <c r="H281" s="125"/>
      <c r="I281" s="126"/>
      <c r="J281" s="127"/>
      <c r="K281" s="128"/>
    </row>
    <row r="282" spans="2:11">
      <c r="B282" s="115" t="str">
        <f t="shared" si="4"/>
        <v/>
      </c>
      <c r="C282" s="117">
        <v>275</v>
      </c>
      <c r="D282" s="125"/>
      <c r="E282" s="264"/>
      <c r="F282" s="126"/>
      <c r="G282" s="238"/>
      <c r="H282" s="125"/>
      <c r="I282" s="126"/>
      <c r="J282" s="127"/>
      <c r="K282" s="128"/>
    </row>
    <row r="283" spans="2:11">
      <c r="B283" s="115" t="str">
        <f t="shared" si="4"/>
        <v/>
      </c>
      <c r="C283" s="117">
        <v>276</v>
      </c>
      <c r="D283" s="125"/>
      <c r="E283" s="264"/>
      <c r="F283" s="126"/>
      <c r="G283" s="238"/>
      <c r="H283" s="125"/>
      <c r="I283" s="126"/>
      <c r="J283" s="127"/>
      <c r="K283" s="128"/>
    </row>
    <row r="284" spans="2:11">
      <c r="B284" s="115" t="str">
        <f t="shared" si="4"/>
        <v/>
      </c>
      <c r="C284" s="117">
        <v>277</v>
      </c>
      <c r="D284" s="125"/>
      <c r="E284" s="264"/>
      <c r="F284" s="126"/>
      <c r="G284" s="238"/>
      <c r="H284" s="125"/>
      <c r="I284" s="126"/>
      <c r="J284" s="127"/>
      <c r="K284" s="128"/>
    </row>
    <row r="285" spans="2:11">
      <c r="B285" s="115" t="str">
        <f t="shared" si="4"/>
        <v/>
      </c>
      <c r="C285" s="117">
        <v>278</v>
      </c>
      <c r="D285" s="125"/>
      <c r="E285" s="264"/>
      <c r="F285" s="126"/>
      <c r="G285" s="238"/>
      <c r="H285" s="125"/>
      <c r="I285" s="126"/>
      <c r="J285" s="127"/>
      <c r="K285" s="128"/>
    </row>
    <row r="286" spans="2:11">
      <c r="B286" s="115" t="str">
        <f t="shared" si="4"/>
        <v/>
      </c>
      <c r="C286" s="117">
        <v>279</v>
      </c>
      <c r="D286" s="125"/>
      <c r="E286" s="264"/>
      <c r="F286" s="126"/>
      <c r="G286" s="238"/>
      <c r="H286" s="125"/>
      <c r="I286" s="126"/>
      <c r="J286" s="127"/>
      <c r="K286" s="128"/>
    </row>
    <row r="287" spans="2:11">
      <c r="B287" s="115" t="str">
        <f t="shared" si="4"/>
        <v/>
      </c>
      <c r="C287" s="117">
        <v>280</v>
      </c>
      <c r="D287" s="125"/>
      <c r="E287" s="264"/>
      <c r="F287" s="126"/>
      <c r="G287" s="238"/>
      <c r="H287" s="125"/>
      <c r="I287" s="126"/>
      <c r="J287" s="127"/>
      <c r="K287" s="128"/>
    </row>
    <row r="288" spans="2:11">
      <c r="B288" s="115" t="str">
        <f t="shared" si="4"/>
        <v/>
      </c>
      <c r="C288" s="117">
        <v>281</v>
      </c>
      <c r="D288" s="125"/>
      <c r="E288" s="264"/>
      <c r="F288" s="126"/>
      <c r="G288" s="238"/>
      <c r="H288" s="125"/>
      <c r="I288" s="126"/>
      <c r="J288" s="127"/>
      <c r="K288" s="128"/>
    </row>
    <row r="289" spans="2:11">
      <c r="B289" s="115" t="str">
        <f t="shared" si="4"/>
        <v/>
      </c>
      <c r="C289" s="117">
        <v>282</v>
      </c>
      <c r="D289" s="125"/>
      <c r="E289" s="264"/>
      <c r="F289" s="126"/>
      <c r="G289" s="238"/>
      <c r="H289" s="125"/>
      <c r="I289" s="126"/>
      <c r="J289" s="127"/>
      <c r="K289" s="128"/>
    </row>
    <row r="290" spans="2:11">
      <c r="B290" s="115" t="str">
        <f t="shared" si="4"/>
        <v/>
      </c>
      <c r="C290" s="117">
        <v>283</v>
      </c>
      <c r="D290" s="125"/>
      <c r="E290" s="264"/>
      <c r="F290" s="126"/>
      <c r="G290" s="238"/>
      <c r="H290" s="125"/>
      <c r="I290" s="126"/>
      <c r="J290" s="127"/>
      <c r="K290" s="128"/>
    </row>
    <row r="291" spans="2:11">
      <c r="B291" s="115" t="str">
        <f t="shared" si="4"/>
        <v/>
      </c>
      <c r="C291" s="117">
        <v>284</v>
      </c>
      <c r="D291" s="125"/>
      <c r="E291" s="264"/>
      <c r="F291" s="126"/>
      <c r="G291" s="238"/>
      <c r="H291" s="125"/>
      <c r="I291" s="126"/>
      <c r="J291" s="127"/>
      <c r="K291" s="128"/>
    </row>
    <row r="292" spans="2:11">
      <c r="B292" s="115" t="str">
        <f t="shared" si="4"/>
        <v/>
      </c>
      <c r="C292" s="117">
        <v>285</v>
      </c>
      <c r="D292" s="125"/>
      <c r="E292" s="264"/>
      <c r="F292" s="126"/>
      <c r="G292" s="238"/>
      <c r="H292" s="125"/>
      <c r="I292" s="126"/>
      <c r="J292" s="127"/>
      <c r="K292" s="128"/>
    </row>
    <row r="293" spans="2:11">
      <c r="B293" s="115" t="str">
        <f t="shared" si="4"/>
        <v/>
      </c>
      <c r="C293" s="117">
        <v>286</v>
      </c>
      <c r="D293" s="125"/>
      <c r="E293" s="264"/>
      <c r="F293" s="126"/>
      <c r="G293" s="238"/>
      <c r="H293" s="125"/>
      <c r="I293" s="126"/>
      <c r="J293" s="127"/>
      <c r="K293" s="128"/>
    </row>
    <row r="294" spans="2:11">
      <c r="B294" s="115" t="str">
        <f t="shared" si="4"/>
        <v/>
      </c>
      <c r="C294" s="117">
        <v>287</v>
      </c>
      <c r="D294" s="125"/>
      <c r="E294" s="264"/>
      <c r="F294" s="126"/>
      <c r="G294" s="238"/>
      <c r="H294" s="125"/>
      <c r="I294" s="126"/>
      <c r="J294" s="127"/>
      <c r="K294" s="128"/>
    </row>
    <row r="295" spans="2:11">
      <c r="B295" s="115" t="str">
        <f t="shared" si="4"/>
        <v/>
      </c>
      <c r="C295" s="117">
        <v>288</v>
      </c>
      <c r="D295" s="125"/>
      <c r="E295" s="264"/>
      <c r="F295" s="126"/>
      <c r="G295" s="238"/>
      <c r="H295" s="125"/>
      <c r="I295" s="126"/>
      <c r="J295" s="127"/>
      <c r="K295" s="128"/>
    </row>
    <row r="296" spans="2:11">
      <c r="B296" s="115" t="str">
        <f t="shared" si="4"/>
        <v/>
      </c>
      <c r="C296" s="117">
        <v>289</v>
      </c>
      <c r="D296" s="125"/>
      <c r="E296" s="264"/>
      <c r="F296" s="126"/>
      <c r="G296" s="238"/>
      <c r="H296" s="125"/>
      <c r="I296" s="126"/>
      <c r="J296" s="127"/>
      <c r="K296" s="128"/>
    </row>
    <row r="297" spans="2:11">
      <c r="B297" s="115" t="str">
        <f t="shared" si="4"/>
        <v/>
      </c>
      <c r="C297" s="117">
        <v>290</v>
      </c>
      <c r="D297" s="125"/>
      <c r="E297" s="264"/>
      <c r="F297" s="126"/>
      <c r="G297" s="238"/>
      <c r="H297" s="125"/>
      <c r="I297" s="126"/>
      <c r="J297" s="127"/>
      <c r="K297" s="128"/>
    </row>
    <row r="298" spans="2:11">
      <c r="B298" s="115" t="str">
        <f t="shared" si="4"/>
        <v/>
      </c>
      <c r="C298" s="117">
        <v>291</v>
      </c>
      <c r="D298" s="125"/>
      <c r="E298" s="264"/>
      <c r="F298" s="126"/>
      <c r="G298" s="238"/>
      <c r="H298" s="125"/>
      <c r="I298" s="126"/>
      <c r="J298" s="127"/>
      <c r="K298" s="128"/>
    </row>
    <row r="299" spans="2:11">
      <c r="B299" s="115" t="str">
        <f t="shared" si="4"/>
        <v/>
      </c>
      <c r="C299" s="117">
        <v>292</v>
      </c>
      <c r="D299" s="125"/>
      <c r="E299" s="264"/>
      <c r="F299" s="126"/>
      <c r="G299" s="238"/>
      <c r="H299" s="125"/>
      <c r="I299" s="126"/>
      <c r="J299" s="127"/>
      <c r="K299" s="128"/>
    </row>
    <row r="300" spans="2:11">
      <c r="B300" s="115" t="str">
        <f t="shared" si="4"/>
        <v/>
      </c>
      <c r="C300" s="117">
        <v>293</v>
      </c>
      <c r="D300" s="125"/>
      <c r="E300" s="264"/>
      <c r="F300" s="126"/>
      <c r="G300" s="238"/>
      <c r="H300" s="125"/>
      <c r="I300" s="126"/>
      <c r="J300" s="127"/>
      <c r="K300" s="128"/>
    </row>
    <row r="301" spans="2:11">
      <c r="B301" s="115" t="str">
        <f t="shared" si="4"/>
        <v/>
      </c>
      <c r="C301" s="117">
        <v>294</v>
      </c>
      <c r="D301" s="125"/>
      <c r="E301" s="264"/>
      <c r="F301" s="126"/>
      <c r="G301" s="238"/>
      <c r="H301" s="125"/>
      <c r="I301" s="126"/>
      <c r="J301" s="127"/>
      <c r="K301" s="128"/>
    </row>
    <row r="302" spans="2:11">
      <c r="B302" s="115" t="str">
        <f t="shared" si="4"/>
        <v/>
      </c>
      <c r="C302" s="117">
        <v>295</v>
      </c>
      <c r="D302" s="125"/>
      <c r="E302" s="264"/>
      <c r="F302" s="126"/>
      <c r="G302" s="238"/>
      <c r="H302" s="125"/>
      <c r="I302" s="126"/>
      <c r="J302" s="127"/>
      <c r="K302" s="128"/>
    </row>
    <row r="303" spans="2:11">
      <c r="B303" s="115" t="str">
        <f t="shared" si="4"/>
        <v/>
      </c>
      <c r="C303" s="117">
        <v>296</v>
      </c>
      <c r="D303" s="125"/>
      <c r="E303" s="264"/>
      <c r="F303" s="126"/>
      <c r="G303" s="238"/>
      <c r="H303" s="125"/>
      <c r="I303" s="126"/>
      <c r="J303" s="127"/>
      <c r="K303" s="128"/>
    </row>
    <row r="304" spans="2:11">
      <c r="B304" s="115" t="str">
        <f t="shared" si="4"/>
        <v/>
      </c>
      <c r="C304" s="117">
        <v>297</v>
      </c>
      <c r="D304" s="125"/>
      <c r="E304" s="264"/>
      <c r="F304" s="126"/>
      <c r="G304" s="238"/>
      <c r="H304" s="125"/>
      <c r="I304" s="126"/>
      <c r="J304" s="127"/>
      <c r="K304" s="128"/>
    </row>
    <row r="305" spans="2:11">
      <c r="B305" s="115" t="str">
        <f t="shared" si="4"/>
        <v/>
      </c>
      <c r="C305" s="117">
        <v>298</v>
      </c>
      <c r="D305" s="125"/>
      <c r="E305" s="264"/>
      <c r="F305" s="126"/>
      <c r="G305" s="238"/>
      <c r="H305" s="125"/>
      <c r="I305" s="126"/>
      <c r="J305" s="127"/>
      <c r="K305" s="128"/>
    </row>
    <row r="306" spans="2:11">
      <c r="B306" s="115" t="str">
        <f t="shared" si="4"/>
        <v/>
      </c>
      <c r="C306" s="117">
        <v>299</v>
      </c>
      <c r="D306" s="125"/>
      <c r="E306" s="264"/>
      <c r="F306" s="126"/>
      <c r="G306" s="238"/>
      <c r="H306" s="125"/>
      <c r="I306" s="126"/>
      <c r="J306" s="127"/>
      <c r="K306" s="128"/>
    </row>
    <row r="307" spans="2:11">
      <c r="B307" s="115" t="str">
        <f t="shared" si="4"/>
        <v/>
      </c>
      <c r="C307" s="117">
        <v>300</v>
      </c>
      <c r="D307" s="125"/>
      <c r="E307" s="264"/>
      <c r="F307" s="126"/>
      <c r="G307" s="238"/>
      <c r="H307" s="125"/>
      <c r="I307" s="126"/>
      <c r="J307" s="127"/>
      <c r="K307" s="128"/>
    </row>
    <row r="308" spans="2:11">
      <c r="B308" s="115" t="str">
        <f t="shared" si="4"/>
        <v/>
      </c>
      <c r="C308" s="117">
        <v>301</v>
      </c>
      <c r="D308" s="125"/>
      <c r="E308" s="264"/>
      <c r="F308" s="126"/>
      <c r="G308" s="238"/>
      <c r="H308" s="125"/>
      <c r="I308" s="126"/>
      <c r="J308" s="127"/>
      <c r="K308" s="128"/>
    </row>
    <row r="309" spans="2:11">
      <c r="B309" s="115" t="str">
        <f t="shared" si="4"/>
        <v/>
      </c>
      <c r="C309" s="117">
        <v>302</v>
      </c>
      <c r="D309" s="125"/>
      <c r="E309" s="264"/>
      <c r="F309" s="126"/>
      <c r="G309" s="238"/>
      <c r="H309" s="125"/>
      <c r="I309" s="126"/>
      <c r="J309" s="127"/>
      <c r="K309" s="128"/>
    </row>
    <row r="310" spans="2:11">
      <c r="B310" s="115" t="str">
        <f t="shared" si="4"/>
        <v/>
      </c>
      <c r="C310" s="117">
        <v>303</v>
      </c>
      <c r="D310" s="125"/>
      <c r="E310" s="264"/>
      <c r="F310" s="126"/>
      <c r="G310" s="238"/>
      <c r="H310" s="125"/>
      <c r="I310" s="126"/>
      <c r="J310" s="127"/>
      <c r="K310" s="128"/>
    </row>
    <row r="311" spans="2:11">
      <c r="B311" s="115" t="str">
        <f t="shared" si="4"/>
        <v/>
      </c>
      <c r="C311" s="117">
        <v>304</v>
      </c>
      <c r="D311" s="125"/>
      <c r="E311" s="264"/>
      <c r="F311" s="126"/>
      <c r="G311" s="238"/>
      <c r="H311" s="125"/>
      <c r="I311" s="126"/>
      <c r="J311" s="127"/>
      <c r="K311" s="128"/>
    </row>
    <row r="312" spans="2:11">
      <c r="B312" s="115" t="str">
        <f t="shared" si="4"/>
        <v/>
      </c>
      <c r="C312" s="117">
        <v>305</v>
      </c>
      <c r="D312" s="125"/>
      <c r="E312" s="264"/>
      <c r="F312" s="126"/>
      <c r="G312" s="238"/>
      <c r="H312" s="125"/>
      <c r="I312" s="126"/>
      <c r="J312" s="127"/>
      <c r="K312" s="128"/>
    </row>
    <row r="313" spans="2:11">
      <c r="B313" s="115" t="str">
        <f t="shared" si="4"/>
        <v/>
      </c>
      <c r="C313" s="117">
        <v>306</v>
      </c>
      <c r="D313" s="125"/>
      <c r="E313" s="264"/>
      <c r="F313" s="126"/>
      <c r="G313" s="238"/>
      <c r="H313" s="125"/>
      <c r="I313" s="126"/>
      <c r="J313" s="127"/>
      <c r="K313" s="128"/>
    </row>
    <row r="314" spans="2:11">
      <c r="B314" s="115" t="str">
        <f t="shared" si="4"/>
        <v/>
      </c>
      <c r="C314" s="117">
        <v>307</v>
      </c>
      <c r="D314" s="125"/>
      <c r="E314" s="264"/>
      <c r="F314" s="126"/>
      <c r="G314" s="238"/>
      <c r="H314" s="125"/>
      <c r="I314" s="126"/>
      <c r="J314" s="127"/>
      <c r="K314" s="128"/>
    </row>
    <row r="315" spans="2:11">
      <c r="B315" s="115" t="str">
        <f t="shared" si="4"/>
        <v/>
      </c>
      <c r="C315" s="117">
        <v>308</v>
      </c>
      <c r="D315" s="125"/>
      <c r="E315" s="264"/>
      <c r="F315" s="126"/>
      <c r="G315" s="238"/>
      <c r="H315" s="125"/>
      <c r="I315" s="126"/>
      <c r="J315" s="127"/>
      <c r="K315" s="128"/>
    </row>
    <row r="316" spans="2:11">
      <c r="B316" s="115" t="str">
        <f t="shared" si="4"/>
        <v/>
      </c>
      <c r="C316" s="117">
        <v>309</v>
      </c>
      <c r="D316" s="125"/>
      <c r="E316" s="264"/>
      <c r="F316" s="126"/>
      <c r="G316" s="238"/>
      <c r="H316" s="125"/>
      <c r="I316" s="126"/>
      <c r="J316" s="127"/>
      <c r="K316" s="128"/>
    </row>
    <row r="317" spans="2:11">
      <c r="B317" s="115" t="str">
        <f t="shared" si="4"/>
        <v/>
      </c>
      <c r="C317" s="117">
        <v>310</v>
      </c>
      <c r="D317" s="125"/>
      <c r="E317" s="264"/>
      <c r="F317" s="126"/>
      <c r="G317" s="238"/>
      <c r="H317" s="125"/>
      <c r="I317" s="126"/>
      <c r="J317" s="127"/>
      <c r="K317" s="128"/>
    </row>
    <row r="318" spans="2:11">
      <c r="B318" s="115" t="str">
        <f t="shared" si="4"/>
        <v/>
      </c>
      <c r="C318" s="117">
        <v>311</v>
      </c>
      <c r="D318" s="125"/>
      <c r="E318" s="264"/>
      <c r="F318" s="126"/>
      <c r="G318" s="238"/>
      <c r="H318" s="125"/>
      <c r="I318" s="126"/>
      <c r="J318" s="127"/>
      <c r="K318" s="128"/>
    </row>
    <row r="319" spans="2:11">
      <c r="B319" s="115" t="str">
        <f t="shared" si="4"/>
        <v/>
      </c>
      <c r="C319" s="117">
        <v>312</v>
      </c>
      <c r="D319" s="125"/>
      <c r="E319" s="264"/>
      <c r="F319" s="126"/>
      <c r="G319" s="238"/>
      <c r="H319" s="125"/>
      <c r="I319" s="126"/>
      <c r="J319" s="127"/>
      <c r="K319" s="128"/>
    </row>
    <row r="320" spans="2:11">
      <c r="B320" s="115" t="str">
        <f t="shared" si="4"/>
        <v/>
      </c>
      <c r="C320" s="117">
        <v>313</v>
      </c>
      <c r="D320" s="125"/>
      <c r="E320" s="264"/>
      <c r="F320" s="126"/>
      <c r="G320" s="238"/>
      <c r="H320" s="125"/>
      <c r="I320" s="126"/>
      <c r="J320" s="127"/>
      <c r="K320" s="128"/>
    </row>
  </sheetData>
  <mergeCells count="14">
    <mergeCell ref="N3:Q3"/>
    <mergeCell ref="N4:Q4"/>
    <mergeCell ref="N5:Q5"/>
    <mergeCell ref="N6:Q6"/>
    <mergeCell ref="N7:Q7"/>
    <mergeCell ref="I6:I7"/>
    <mergeCell ref="K6:K7"/>
    <mergeCell ref="C2:H3"/>
    <mergeCell ref="C6:C7"/>
    <mergeCell ref="D6:D7"/>
    <mergeCell ref="E6:E7"/>
    <mergeCell ref="F6:F7"/>
    <mergeCell ref="G6:G7"/>
    <mergeCell ref="H6:H7"/>
  </mergeCells>
  <phoneticPr fontId="73" type="noConversion"/>
  <dataValidations count="1">
    <dataValidation allowBlank="1" showInputMessage="1" sqref="D8:D34 J7:J34 D6:J6 F8:F34 H8:I34" xr:uid="{4187A512-3629-43A4-BA04-A1965B93DA6C}"/>
  </dataValidations>
  <pageMargins left="0.70866141732283472" right="0.70866141732283472" top="0.74803149606299213" bottom="0.74803149606299213" header="0.31496062992125984" footer="0.31496062992125984"/>
  <pageSetup paperSize="9" scale="66" orientation="landscape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4FA41D4A-46AE-493E-8C46-93ABE0E92F3C}">
          <x14:formula1>
            <xm:f>참여청년현황!$C$5:$C$24</xm:f>
          </x14:formula1>
          <xm:sqref>G8:G320</xm:sqref>
        </x14:dataValidation>
        <x14:dataValidation type="list" allowBlank="1" showInputMessage="1" xr:uid="{F7D171CF-3041-4EA9-87B3-A471DCEBBD21}">
          <x14:formula1>
            <xm:f>드롭다운목록!$K$3:$K$13</xm:f>
          </x14:formula1>
          <xm:sqref>E8:E320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7755-2531-4C13-BBDA-10744B6295E3}">
  <sheetPr>
    <tabColor rgb="FFFFFF00"/>
  </sheetPr>
  <dimension ref="A1:M26"/>
  <sheetViews>
    <sheetView showGridLines="0" workbookViewId="0">
      <pane xSplit="15" ySplit="4" topLeftCell="P5" activePane="bottomRight" state="frozen"/>
      <selection pane="topRight" activeCell="N1" sqref="N1"/>
      <selection pane="bottomLeft" activeCell="A5" sqref="A5"/>
      <selection pane="bottomRight" activeCell="D28" sqref="D28"/>
    </sheetView>
  </sheetViews>
  <sheetFormatPr defaultRowHeight="16.5" outlineLevelCol="1"/>
  <cols>
    <col min="1" max="1" width="4.5" customWidth="1"/>
    <col min="2" max="2" width="9" style="247"/>
    <col min="3" max="3" width="11.625" style="247" customWidth="1"/>
    <col min="4" max="4" width="17.625" bestFit="1" customWidth="1"/>
    <col min="5" max="5" width="17.25" style="248" customWidth="1"/>
    <col min="6" max="6" width="15.75" style="248" customWidth="1"/>
    <col min="7" max="7" width="18.375" style="248" bestFit="1" customWidth="1"/>
    <col min="8" max="8" width="3.375" customWidth="1"/>
    <col min="9" max="10" width="29.875" hidden="1" customWidth="1" outlineLevel="1"/>
    <col min="11" max="11" width="17.5" customWidth="1" collapsed="1"/>
    <col min="12" max="12" width="14.75" customWidth="1"/>
    <col min="13" max="13" width="18.375" bestFit="1" customWidth="1"/>
    <col min="14" max="14" width="2.75" customWidth="1"/>
    <col min="15" max="15" width="2.125" customWidth="1"/>
  </cols>
  <sheetData>
    <row r="1" spans="2:13" ht="34.5" customHeight="1">
      <c r="B1" s="254" t="s">
        <v>300</v>
      </c>
    </row>
    <row r="2" spans="2:13">
      <c r="B2" s="373" t="s">
        <v>294</v>
      </c>
      <c r="C2" s="373" t="s">
        <v>292</v>
      </c>
      <c r="D2" s="373" t="s">
        <v>293</v>
      </c>
      <c r="E2" s="372" t="s">
        <v>299</v>
      </c>
      <c r="F2" s="372"/>
      <c r="G2" s="372"/>
      <c r="K2" s="373" t="s">
        <v>298</v>
      </c>
      <c r="L2" s="373"/>
      <c r="M2" s="373"/>
    </row>
    <row r="3" spans="2:13" s="247" customFormat="1">
      <c r="B3" s="373"/>
      <c r="C3" s="373"/>
      <c r="D3" s="373"/>
      <c r="E3" s="372" t="s">
        <v>297</v>
      </c>
      <c r="F3" s="252" t="s">
        <v>296</v>
      </c>
      <c r="G3" s="372" t="s">
        <v>295</v>
      </c>
      <c r="K3" s="373" t="s">
        <v>297</v>
      </c>
      <c r="L3" s="253" t="s">
        <v>296</v>
      </c>
      <c r="M3" s="372" t="s">
        <v>295</v>
      </c>
    </row>
    <row r="4" spans="2:13" s="247" customFormat="1">
      <c r="B4" s="373"/>
      <c r="C4" s="373"/>
      <c r="D4" s="373"/>
      <c r="E4" s="372"/>
      <c r="F4" s="251">
        <f>SUM(F5:F49971)</f>
        <v>1550000</v>
      </c>
      <c r="G4" s="372"/>
      <c r="K4" s="373"/>
      <c r="L4" s="251">
        <f>SUM(L5:L49971)</f>
        <v>0</v>
      </c>
      <c r="M4" s="372"/>
    </row>
    <row r="5" spans="2:13">
      <c r="B5" s="82">
        <v>1</v>
      </c>
      <c r="C5" s="276" t="s">
        <v>231</v>
      </c>
      <c r="D5" s="108"/>
      <c r="E5" s="249">
        <v>2400000</v>
      </c>
      <c r="F5" s="249">
        <f>SUMIF('직접비-역량강화지원금'!$G$8:$G$50000,C5,'직접비-역량강화지원금'!$J$8:$J$50000)</f>
        <v>100000</v>
      </c>
      <c r="G5" s="250">
        <f>+E5-F5</f>
        <v>2300000</v>
      </c>
      <c r="I5" s="108" t="s">
        <v>275</v>
      </c>
      <c r="J5" s="108" t="str">
        <f>CONCATENATE(I5,C5)</f>
        <v>기타                      - 애로사항홍길동</v>
      </c>
      <c r="K5" s="249">
        <v>1200000</v>
      </c>
      <c r="L5" s="249">
        <f>SUMIF('직접비-역량강화지원금'!$B$8:$B$50000,참여청년현황!J5,'직접비-역량강화지원금'!$J$8:$J$50000)</f>
        <v>0</v>
      </c>
      <c r="M5" s="250">
        <f>+K5-L5</f>
        <v>1200000</v>
      </c>
    </row>
    <row r="6" spans="2:13">
      <c r="B6" s="82">
        <v>2</v>
      </c>
      <c r="C6" s="276" t="s">
        <v>321</v>
      </c>
      <c r="D6" s="108"/>
      <c r="E6" s="249">
        <v>2400000</v>
      </c>
      <c r="F6" s="249">
        <f>SUMIF('직접비-역량강화지원금'!$G$8:$G$50000,C6,'직접비-역량강화지원금'!$J$8:$J$50000)</f>
        <v>1450000</v>
      </c>
      <c r="G6" s="250">
        <f t="shared" ref="G6:G24" si="0">+E6-F6</f>
        <v>950000</v>
      </c>
      <c r="I6" s="108" t="s">
        <v>275</v>
      </c>
      <c r="J6" s="108" t="str">
        <f t="shared" ref="J6:J24" si="1">CONCATENATE(I6,C6)</f>
        <v>기타                      - 애로사항홍길순</v>
      </c>
      <c r="K6" s="249">
        <v>1200000</v>
      </c>
      <c r="L6" s="249">
        <f>SUMIF('직접비-역량강화지원금'!$B$8:$B$50000,참여청년현황!J6,'직접비-역량강화지원금'!$J$8:$J$50000)</f>
        <v>0</v>
      </c>
      <c r="M6" s="250">
        <f t="shared" ref="M6:M24" si="2">+K6-L6</f>
        <v>1200000</v>
      </c>
    </row>
    <row r="7" spans="2:13">
      <c r="B7" s="82">
        <v>3</v>
      </c>
      <c r="C7" s="82"/>
      <c r="D7" s="108"/>
      <c r="E7" s="249">
        <v>2400000</v>
      </c>
      <c r="F7" s="249">
        <f>SUMIF('직접비-역량강화지원금'!$G$8:$G$50000,C7,'직접비-역량강화지원금'!$J$8:$J$50000)</f>
        <v>0</v>
      </c>
      <c r="G7" s="250">
        <f t="shared" si="0"/>
        <v>2400000</v>
      </c>
      <c r="I7" s="108" t="s">
        <v>275</v>
      </c>
      <c r="J7" s="108" t="str">
        <f t="shared" si="1"/>
        <v>기타                      - 애로사항</v>
      </c>
      <c r="K7" s="249">
        <v>1200000</v>
      </c>
      <c r="L7" s="249">
        <f>SUMIF('직접비-역량강화지원금'!$B$8:$B$50000,참여청년현황!J7,'직접비-역량강화지원금'!$J$8:$J$50000)</f>
        <v>0</v>
      </c>
      <c r="M7" s="250">
        <f t="shared" si="2"/>
        <v>1200000</v>
      </c>
    </row>
    <row r="8" spans="2:13">
      <c r="B8" s="82">
        <v>4</v>
      </c>
      <c r="C8" s="82"/>
      <c r="D8" s="108"/>
      <c r="E8" s="249">
        <v>2400000</v>
      </c>
      <c r="F8" s="249">
        <f>SUMIF('직접비-역량강화지원금'!$G$8:$G$50000,C8,'직접비-역량강화지원금'!$J$8:$J$50000)</f>
        <v>0</v>
      </c>
      <c r="G8" s="250">
        <f t="shared" si="0"/>
        <v>2400000</v>
      </c>
      <c r="I8" s="108" t="s">
        <v>275</v>
      </c>
      <c r="J8" s="108" t="str">
        <f t="shared" si="1"/>
        <v>기타                      - 애로사항</v>
      </c>
      <c r="K8" s="249">
        <v>1200000</v>
      </c>
      <c r="L8" s="249">
        <f>SUMIF('직접비-역량강화지원금'!$B$8:$B$50000,참여청년현황!J8,'직접비-역량강화지원금'!$J$8:$J$50000)</f>
        <v>0</v>
      </c>
      <c r="M8" s="250">
        <f t="shared" si="2"/>
        <v>1200000</v>
      </c>
    </row>
    <row r="9" spans="2:13">
      <c r="B9" s="82">
        <v>5</v>
      </c>
      <c r="C9" s="82"/>
      <c r="D9" s="108"/>
      <c r="E9" s="249">
        <v>2400000</v>
      </c>
      <c r="F9" s="249">
        <f>SUMIF('직접비-역량강화지원금'!$G$8:$G$50000,C9,'직접비-역량강화지원금'!$J$8:$J$50000)</f>
        <v>0</v>
      </c>
      <c r="G9" s="250">
        <f t="shared" si="0"/>
        <v>2400000</v>
      </c>
      <c r="I9" s="108" t="s">
        <v>275</v>
      </c>
      <c r="J9" s="108" t="str">
        <f t="shared" si="1"/>
        <v>기타                      - 애로사항</v>
      </c>
      <c r="K9" s="249">
        <v>1200000</v>
      </c>
      <c r="L9" s="249">
        <f>SUMIF('직접비-역량강화지원금'!$B$8:$B$50000,참여청년현황!J9,'직접비-역량강화지원금'!$J$8:$J$50000)</f>
        <v>0</v>
      </c>
      <c r="M9" s="250">
        <f t="shared" si="2"/>
        <v>1200000</v>
      </c>
    </row>
    <row r="10" spans="2:13">
      <c r="B10" s="82">
        <v>6</v>
      </c>
      <c r="C10" s="82"/>
      <c r="D10" s="108"/>
      <c r="E10" s="249">
        <v>2400000</v>
      </c>
      <c r="F10" s="249">
        <f>SUMIF('직접비-역량강화지원금'!$G$8:$G$50000,C10,'직접비-역량강화지원금'!$J$8:$J$50000)</f>
        <v>0</v>
      </c>
      <c r="G10" s="250">
        <f t="shared" si="0"/>
        <v>2400000</v>
      </c>
      <c r="I10" s="108" t="s">
        <v>275</v>
      </c>
      <c r="J10" s="108" t="str">
        <f t="shared" si="1"/>
        <v>기타                      - 애로사항</v>
      </c>
      <c r="K10" s="249">
        <v>1200000</v>
      </c>
      <c r="L10" s="249">
        <f>SUMIF('직접비-역량강화지원금'!$B$8:$B$50000,참여청년현황!J10,'직접비-역량강화지원금'!$J$8:$J$50000)</f>
        <v>0</v>
      </c>
      <c r="M10" s="250">
        <f t="shared" si="2"/>
        <v>1200000</v>
      </c>
    </row>
    <row r="11" spans="2:13">
      <c r="B11" s="82">
        <v>7</v>
      </c>
      <c r="C11" s="82"/>
      <c r="D11" s="108"/>
      <c r="E11" s="249">
        <v>2400000</v>
      </c>
      <c r="F11" s="249">
        <f>SUMIF('직접비-역량강화지원금'!$G$8:$G$50000,C11,'직접비-역량강화지원금'!$J$8:$J$50000)</f>
        <v>0</v>
      </c>
      <c r="G11" s="250">
        <f t="shared" si="0"/>
        <v>2400000</v>
      </c>
      <c r="I11" s="108" t="s">
        <v>275</v>
      </c>
      <c r="J11" s="108" t="str">
        <f t="shared" si="1"/>
        <v>기타                      - 애로사항</v>
      </c>
      <c r="K11" s="249">
        <v>1200000</v>
      </c>
      <c r="L11" s="249">
        <f>SUMIF('직접비-역량강화지원금'!$B$8:$B$50000,참여청년현황!J11,'직접비-역량강화지원금'!$J$8:$J$50000)</f>
        <v>0</v>
      </c>
      <c r="M11" s="250">
        <f t="shared" si="2"/>
        <v>1200000</v>
      </c>
    </row>
    <row r="12" spans="2:13">
      <c r="B12" s="82">
        <v>8</v>
      </c>
      <c r="C12" s="82"/>
      <c r="D12" s="108"/>
      <c r="E12" s="249">
        <v>2400000</v>
      </c>
      <c r="F12" s="249">
        <f>SUMIF('직접비-역량강화지원금'!$G$8:$G$50000,C12,'직접비-역량강화지원금'!$J$8:$J$50000)</f>
        <v>0</v>
      </c>
      <c r="G12" s="250">
        <f t="shared" si="0"/>
        <v>2400000</v>
      </c>
      <c r="I12" s="108" t="s">
        <v>275</v>
      </c>
      <c r="J12" s="108" t="str">
        <f t="shared" si="1"/>
        <v>기타                      - 애로사항</v>
      </c>
      <c r="K12" s="249">
        <v>1200000</v>
      </c>
      <c r="L12" s="249">
        <f>SUMIF('직접비-역량강화지원금'!$B$8:$B$50000,참여청년현황!J12,'직접비-역량강화지원금'!$J$8:$J$50000)</f>
        <v>0</v>
      </c>
      <c r="M12" s="250">
        <f t="shared" si="2"/>
        <v>1200000</v>
      </c>
    </row>
    <row r="13" spans="2:13">
      <c r="B13" s="82">
        <v>9</v>
      </c>
      <c r="C13" s="82"/>
      <c r="D13" s="108"/>
      <c r="E13" s="249">
        <v>2400000</v>
      </c>
      <c r="F13" s="249">
        <f>SUMIF('직접비-역량강화지원금'!$G$8:$G$50000,C13,'직접비-역량강화지원금'!$J$8:$J$50000)</f>
        <v>0</v>
      </c>
      <c r="G13" s="250">
        <f t="shared" si="0"/>
        <v>2400000</v>
      </c>
      <c r="I13" s="108" t="s">
        <v>275</v>
      </c>
      <c r="J13" s="108" t="str">
        <f t="shared" si="1"/>
        <v>기타                      - 애로사항</v>
      </c>
      <c r="K13" s="249">
        <v>1200000</v>
      </c>
      <c r="L13" s="249">
        <f>SUMIF('직접비-역량강화지원금'!$B$8:$B$50000,참여청년현황!J13,'직접비-역량강화지원금'!$J$8:$J$50000)</f>
        <v>0</v>
      </c>
      <c r="M13" s="250">
        <f t="shared" si="2"/>
        <v>1200000</v>
      </c>
    </row>
    <row r="14" spans="2:13">
      <c r="B14" s="82">
        <v>10</v>
      </c>
      <c r="C14" s="82"/>
      <c r="D14" s="108"/>
      <c r="E14" s="249">
        <v>2400000</v>
      </c>
      <c r="F14" s="249">
        <f>SUMIF('직접비-역량강화지원금'!$G$8:$G$50000,C14,'직접비-역량강화지원금'!$J$8:$J$50000)</f>
        <v>0</v>
      </c>
      <c r="G14" s="250">
        <f t="shared" si="0"/>
        <v>2400000</v>
      </c>
      <c r="I14" s="108" t="s">
        <v>275</v>
      </c>
      <c r="J14" s="108" t="str">
        <f t="shared" si="1"/>
        <v>기타                      - 애로사항</v>
      </c>
      <c r="K14" s="249">
        <v>1200000</v>
      </c>
      <c r="L14" s="249">
        <f>SUMIF('직접비-역량강화지원금'!$B$8:$B$50000,참여청년현황!J14,'직접비-역량강화지원금'!$J$8:$J$50000)</f>
        <v>0</v>
      </c>
      <c r="M14" s="250">
        <f t="shared" si="2"/>
        <v>1200000</v>
      </c>
    </row>
    <row r="15" spans="2:13">
      <c r="B15" s="82">
        <v>11</v>
      </c>
      <c r="C15" s="82"/>
      <c r="D15" s="108"/>
      <c r="E15" s="249">
        <v>2400000</v>
      </c>
      <c r="F15" s="249">
        <f>SUMIF('직접비-역량강화지원금'!$G$8:$G$50000,C15,'직접비-역량강화지원금'!$J$8:$J$50000)</f>
        <v>0</v>
      </c>
      <c r="G15" s="250">
        <f t="shared" si="0"/>
        <v>2400000</v>
      </c>
      <c r="I15" s="108" t="s">
        <v>275</v>
      </c>
      <c r="J15" s="108" t="str">
        <f t="shared" si="1"/>
        <v>기타                      - 애로사항</v>
      </c>
      <c r="K15" s="249">
        <v>1200000</v>
      </c>
      <c r="L15" s="249">
        <f>SUMIF('직접비-역량강화지원금'!$B$8:$B$50000,참여청년현황!J15,'직접비-역량강화지원금'!$J$8:$J$50000)</f>
        <v>0</v>
      </c>
      <c r="M15" s="250">
        <f t="shared" si="2"/>
        <v>1200000</v>
      </c>
    </row>
    <row r="16" spans="2:13">
      <c r="B16" s="82">
        <v>12</v>
      </c>
      <c r="C16" s="82"/>
      <c r="D16" s="108"/>
      <c r="E16" s="249">
        <v>2400000</v>
      </c>
      <c r="F16" s="249">
        <f>SUMIF('직접비-역량강화지원금'!$G$8:$G$50000,C16,'직접비-역량강화지원금'!$J$8:$J$50000)</f>
        <v>0</v>
      </c>
      <c r="G16" s="250">
        <f t="shared" si="0"/>
        <v>2400000</v>
      </c>
      <c r="I16" s="108" t="s">
        <v>275</v>
      </c>
      <c r="J16" s="108" t="str">
        <f t="shared" si="1"/>
        <v>기타                      - 애로사항</v>
      </c>
      <c r="K16" s="249">
        <v>1200000</v>
      </c>
      <c r="L16" s="249">
        <f>SUMIF('직접비-역량강화지원금'!$B$8:$B$50000,참여청년현황!J16,'직접비-역량강화지원금'!$J$8:$J$50000)</f>
        <v>0</v>
      </c>
      <c r="M16" s="250">
        <f t="shared" si="2"/>
        <v>1200000</v>
      </c>
    </row>
    <row r="17" spans="1:13">
      <c r="B17" s="82">
        <v>13</v>
      </c>
      <c r="C17" s="82"/>
      <c r="D17" s="108"/>
      <c r="E17" s="249">
        <v>2400000</v>
      </c>
      <c r="F17" s="249">
        <f>SUMIF('직접비-역량강화지원금'!$G$8:$G$50000,C17,'직접비-역량강화지원금'!$J$8:$J$50000)</f>
        <v>0</v>
      </c>
      <c r="G17" s="250">
        <f t="shared" si="0"/>
        <v>2400000</v>
      </c>
      <c r="I17" s="108" t="s">
        <v>275</v>
      </c>
      <c r="J17" s="108" t="str">
        <f t="shared" si="1"/>
        <v>기타                      - 애로사항</v>
      </c>
      <c r="K17" s="249">
        <v>1200000</v>
      </c>
      <c r="L17" s="249">
        <f>SUMIF('직접비-역량강화지원금'!$B$8:$B$50000,참여청년현황!J17,'직접비-역량강화지원금'!$J$8:$J$50000)</f>
        <v>0</v>
      </c>
      <c r="M17" s="250">
        <f t="shared" si="2"/>
        <v>1200000</v>
      </c>
    </row>
    <row r="18" spans="1:13">
      <c r="B18" s="82">
        <v>14</v>
      </c>
      <c r="C18" s="82"/>
      <c r="D18" s="108"/>
      <c r="E18" s="249">
        <v>2400000</v>
      </c>
      <c r="F18" s="249">
        <f>SUMIF('직접비-역량강화지원금'!$G$8:$G$50000,C18,'직접비-역량강화지원금'!$J$8:$J$50000)</f>
        <v>0</v>
      </c>
      <c r="G18" s="250">
        <f t="shared" si="0"/>
        <v>2400000</v>
      </c>
      <c r="I18" s="108" t="s">
        <v>275</v>
      </c>
      <c r="J18" s="108" t="str">
        <f t="shared" si="1"/>
        <v>기타                      - 애로사항</v>
      </c>
      <c r="K18" s="249">
        <v>1200000</v>
      </c>
      <c r="L18" s="249">
        <f>SUMIF('직접비-역량강화지원금'!$B$8:$B$50000,참여청년현황!J18,'직접비-역량강화지원금'!$J$8:$J$50000)</f>
        <v>0</v>
      </c>
      <c r="M18" s="250">
        <f t="shared" si="2"/>
        <v>1200000</v>
      </c>
    </row>
    <row r="19" spans="1:13">
      <c r="B19" s="82">
        <v>15</v>
      </c>
      <c r="C19" s="82"/>
      <c r="D19" s="108"/>
      <c r="E19" s="249">
        <v>2400000</v>
      </c>
      <c r="F19" s="249">
        <f>SUMIF('직접비-역량강화지원금'!$G$8:$G$50000,C19,'직접비-역량강화지원금'!$J$8:$J$50000)</f>
        <v>0</v>
      </c>
      <c r="G19" s="250">
        <f t="shared" si="0"/>
        <v>2400000</v>
      </c>
      <c r="I19" s="108" t="s">
        <v>275</v>
      </c>
      <c r="J19" s="108" t="str">
        <f t="shared" si="1"/>
        <v>기타                      - 애로사항</v>
      </c>
      <c r="K19" s="249">
        <v>1200000</v>
      </c>
      <c r="L19" s="249">
        <f>SUMIF('직접비-역량강화지원금'!$B$8:$B$50000,참여청년현황!J19,'직접비-역량강화지원금'!$J$8:$J$50000)</f>
        <v>0</v>
      </c>
      <c r="M19" s="250">
        <f t="shared" si="2"/>
        <v>1200000</v>
      </c>
    </row>
    <row r="20" spans="1:13">
      <c r="B20" s="82">
        <v>16</v>
      </c>
      <c r="C20" s="82"/>
      <c r="D20" s="108"/>
      <c r="E20" s="249">
        <v>2400000</v>
      </c>
      <c r="F20" s="249">
        <f>SUMIF('직접비-역량강화지원금'!$G$8:$G$50000,C20,'직접비-역량강화지원금'!$J$8:$J$50000)</f>
        <v>0</v>
      </c>
      <c r="G20" s="250">
        <f t="shared" si="0"/>
        <v>2400000</v>
      </c>
      <c r="I20" s="108" t="s">
        <v>275</v>
      </c>
      <c r="J20" s="108" t="str">
        <f t="shared" si="1"/>
        <v>기타                      - 애로사항</v>
      </c>
      <c r="K20" s="249">
        <v>1200000</v>
      </c>
      <c r="L20" s="249">
        <f>SUMIF('직접비-역량강화지원금'!$B$8:$B$50000,참여청년현황!J20,'직접비-역량강화지원금'!$J$8:$J$50000)</f>
        <v>0</v>
      </c>
      <c r="M20" s="250">
        <f t="shared" si="2"/>
        <v>1200000</v>
      </c>
    </row>
    <row r="21" spans="1:13">
      <c r="B21" s="82">
        <v>17</v>
      </c>
      <c r="C21" s="82"/>
      <c r="D21" s="108"/>
      <c r="E21" s="249">
        <v>2400000</v>
      </c>
      <c r="F21" s="249">
        <f>SUMIF('직접비-역량강화지원금'!$G$8:$G$50000,C21,'직접비-역량강화지원금'!$J$8:$J$50000)</f>
        <v>0</v>
      </c>
      <c r="G21" s="250">
        <f t="shared" si="0"/>
        <v>2400000</v>
      </c>
      <c r="I21" s="108" t="s">
        <v>275</v>
      </c>
      <c r="J21" s="108" t="str">
        <f t="shared" si="1"/>
        <v>기타                      - 애로사항</v>
      </c>
      <c r="K21" s="249">
        <v>1200000</v>
      </c>
      <c r="L21" s="249">
        <f>SUMIF('직접비-역량강화지원금'!$B$8:$B$50000,참여청년현황!J21,'직접비-역량강화지원금'!$J$8:$J$50000)</f>
        <v>0</v>
      </c>
      <c r="M21" s="250">
        <f t="shared" si="2"/>
        <v>1200000</v>
      </c>
    </row>
    <row r="22" spans="1:13">
      <c r="B22" s="82">
        <v>18</v>
      </c>
      <c r="C22" s="82"/>
      <c r="D22" s="108"/>
      <c r="E22" s="249">
        <v>2400000</v>
      </c>
      <c r="F22" s="249">
        <f>SUMIF('직접비-역량강화지원금'!$G$8:$G$50000,C22,'직접비-역량강화지원금'!$J$8:$J$50000)</f>
        <v>0</v>
      </c>
      <c r="G22" s="250">
        <f t="shared" si="0"/>
        <v>2400000</v>
      </c>
      <c r="I22" s="108" t="s">
        <v>275</v>
      </c>
      <c r="J22" s="108" t="str">
        <f t="shared" si="1"/>
        <v>기타                      - 애로사항</v>
      </c>
      <c r="K22" s="249">
        <v>1200000</v>
      </c>
      <c r="L22" s="249">
        <f>SUMIF('직접비-역량강화지원금'!$B$8:$B$50000,참여청년현황!J22,'직접비-역량강화지원금'!$J$8:$J$50000)</f>
        <v>0</v>
      </c>
      <c r="M22" s="250">
        <f t="shared" si="2"/>
        <v>1200000</v>
      </c>
    </row>
    <row r="23" spans="1:13">
      <c r="B23" s="82">
        <v>19</v>
      </c>
      <c r="C23" s="82"/>
      <c r="D23" s="108"/>
      <c r="E23" s="249">
        <v>2400000</v>
      </c>
      <c r="F23" s="249">
        <f>SUMIF('직접비-역량강화지원금'!$G$8:$G$50000,C23,'직접비-역량강화지원금'!$J$8:$J$50000)</f>
        <v>0</v>
      </c>
      <c r="G23" s="250">
        <f t="shared" si="0"/>
        <v>2400000</v>
      </c>
      <c r="I23" s="108" t="s">
        <v>275</v>
      </c>
      <c r="J23" s="108" t="str">
        <f t="shared" si="1"/>
        <v>기타                      - 애로사항</v>
      </c>
      <c r="K23" s="249">
        <v>1200000</v>
      </c>
      <c r="L23" s="249">
        <f>SUMIF('직접비-역량강화지원금'!$B$8:$B$50000,참여청년현황!J23,'직접비-역량강화지원금'!$J$8:$J$50000)</f>
        <v>0</v>
      </c>
      <c r="M23" s="250">
        <f t="shared" si="2"/>
        <v>1200000</v>
      </c>
    </row>
    <row r="24" spans="1:13">
      <c r="B24" s="82">
        <v>20</v>
      </c>
      <c r="C24" s="82"/>
      <c r="D24" s="108"/>
      <c r="E24" s="249">
        <v>2400000</v>
      </c>
      <c r="F24" s="249">
        <f>SUMIF('직접비-역량강화지원금'!$G$8:$G$50000,C24,'직접비-역량강화지원금'!$J$8:$J$50000)</f>
        <v>0</v>
      </c>
      <c r="G24" s="250">
        <f t="shared" si="0"/>
        <v>2400000</v>
      </c>
      <c r="I24" s="108" t="s">
        <v>275</v>
      </c>
      <c r="J24" s="108" t="str">
        <f t="shared" si="1"/>
        <v>기타                      - 애로사항</v>
      </c>
      <c r="K24" s="249">
        <v>1200000</v>
      </c>
      <c r="L24" s="249">
        <f>SUMIF('직접비-역량강화지원금'!$B$8:$B$50000,참여청년현황!J24,'직접비-역량강화지원금'!$J$8:$J$50000)</f>
        <v>0</v>
      </c>
      <c r="M24" s="250">
        <f t="shared" si="2"/>
        <v>1200000</v>
      </c>
    </row>
    <row r="25" spans="1:13">
      <c r="A25" s="371" t="s">
        <v>305</v>
      </c>
      <c r="B25" s="371"/>
      <c r="C25" s="371"/>
      <c r="D25" s="371"/>
      <c r="E25" s="371"/>
      <c r="F25" s="371"/>
    </row>
    <row r="26" spans="1:13">
      <c r="A26" s="371" t="s">
        <v>322</v>
      </c>
      <c r="B26" s="371"/>
      <c r="C26" s="371"/>
      <c r="D26" s="371"/>
      <c r="E26" s="371"/>
      <c r="F26" s="371"/>
    </row>
  </sheetData>
  <mergeCells count="11">
    <mergeCell ref="A26:F26"/>
    <mergeCell ref="M3:M4"/>
    <mergeCell ref="K2:M2"/>
    <mergeCell ref="E3:E4"/>
    <mergeCell ref="G3:G4"/>
    <mergeCell ref="K3:K4"/>
    <mergeCell ref="A25:F25"/>
    <mergeCell ref="B2:B4"/>
    <mergeCell ref="C2:C4"/>
    <mergeCell ref="D2:D4"/>
    <mergeCell ref="E2:G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67EA2-B676-445E-A049-E2D33F06D8F1}">
  <sheetPr>
    <tabColor theme="6" tint="0.39997558519241921"/>
  </sheetPr>
  <dimension ref="B1:K45"/>
  <sheetViews>
    <sheetView showGridLines="0" zoomScaleNormal="100" workbookViewId="0">
      <pane xSplit="11" ySplit="13" topLeftCell="L14" activePane="bottomRight" state="frozen"/>
      <selection pane="topRight" activeCell="L1" sqref="L1"/>
      <selection pane="bottomLeft" activeCell="A14" sqref="A14"/>
      <selection pane="bottomRight" activeCell="H24" sqref="H24"/>
    </sheetView>
  </sheetViews>
  <sheetFormatPr defaultColWidth="9" defaultRowHeight="16.5"/>
  <cols>
    <col min="1" max="1" width="3" style="115" customWidth="1"/>
    <col min="2" max="2" width="9" style="115"/>
    <col min="3" max="3" width="11.625" style="115" bestFit="1" customWidth="1"/>
    <col min="4" max="4" width="13.875" style="115" bestFit="1" customWidth="1"/>
    <col min="5" max="5" width="15.25" style="115" customWidth="1"/>
    <col min="6" max="6" width="16.5" style="115" customWidth="1"/>
    <col min="7" max="7" width="30" style="115" customWidth="1"/>
    <col min="8" max="8" width="21.875" style="115" customWidth="1"/>
    <col min="9" max="10" width="13.25" style="115" customWidth="1"/>
    <col min="11" max="11" width="3.5" style="115" customWidth="1"/>
    <col min="12" max="16384" width="9" style="115"/>
  </cols>
  <sheetData>
    <row r="1" spans="2:11" ht="6.75" customHeight="1"/>
    <row r="2" spans="2:11" ht="21.75" customHeight="1">
      <c r="B2" s="362" t="s">
        <v>222</v>
      </c>
      <c r="C2" s="362"/>
      <c r="D2" s="362"/>
      <c r="E2" s="362"/>
      <c r="F2" s="362"/>
      <c r="G2" s="362"/>
      <c r="H2" s="362"/>
    </row>
    <row r="3" spans="2:11" ht="21.75" customHeight="1">
      <c r="B3" s="362"/>
      <c r="C3" s="362"/>
      <c r="D3" s="362"/>
      <c r="E3" s="362"/>
      <c r="F3" s="362"/>
      <c r="G3" s="362"/>
      <c r="H3" s="362"/>
    </row>
    <row r="4" spans="2:11">
      <c r="B4" s="137" t="s">
        <v>226</v>
      </c>
      <c r="C4" s="137" t="s">
        <v>227</v>
      </c>
      <c r="D4" s="137" t="s">
        <v>228</v>
      </c>
      <c r="E4" s="137" t="s">
        <v>229</v>
      </c>
      <c r="F4" s="137" t="s">
        <v>230</v>
      </c>
      <c r="G4" s="140"/>
      <c r="H4" s="141"/>
      <c r="I4" s="129" t="s">
        <v>219</v>
      </c>
      <c r="J4" s="132">
        <f>+'사업비 사용실적 명세서'!G33</f>
        <v>45000000</v>
      </c>
    </row>
    <row r="5" spans="2:11" ht="17.25" thickBot="1">
      <c r="B5" s="142" t="s">
        <v>231</v>
      </c>
      <c r="C5" s="143">
        <v>45292</v>
      </c>
      <c r="D5" s="143">
        <v>45596</v>
      </c>
      <c r="E5" s="143">
        <v>45352</v>
      </c>
      <c r="F5" s="143">
        <v>45596</v>
      </c>
      <c r="G5" s="141"/>
      <c r="I5" s="130" t="s">
        <v>220</v>
      </c>
      <c r="J5" s="133">
        <f>+'사업비 사용실적 명세서'!I15</f>
        <v>43050000</v>
      </c>
      <c r="K5" s="135">
        <f>+I13-J5</f>
        <v>0</v>
      </c>
    </row>
    <row r="6" spans="2:11" ht="17.25" thickBot="1">
      <c r="B6" s="136"/>
      <c r="C6" s="142"/>
      <c r="D6" s="142"/>
      <c r="E6" s="142"/>
      <c r="F6" s="142"/>
      <c r="G6" s="141"/>
      <c r="I6" s="131" t="s">
        <v>221</v>
      </c>
      <c r="J6" s="134">
        <f>+J4-J5</f>
        <v>1950000</v>
      </c>
    </row>
    <row r="7" spans="2:11">
      <c r="B7" s="136"/>
      <c r="C7" s="142"/>
      <c r="D7" s="142"/>
      <c r="E7" s="142"/>
      <c r="F7" s="142"/>
      <c r="G7" s="141"/>
    </row>
    <row r="8" spans="2:11">
      <c r="B8" s="136"/>
      <c r="C8" s="142"/>
      <c r="D8" s="142"/>
      <c r="E8" s="142"/>
      <c r="F8" s="142"/>
      <c r="G8" s="141"/>
    </row>
    <row r="9" spans="2:11">
      <c r="B9" s="136"/>
      <c r="C9" s="142"/>
      <c r="D9" s="142"/>
      <c r="E9" s="142"/>
      <c r="F9" s="142"/>
      <c r="G9" s="141"/>
    </row>
    <row r="10" spans="2:11">
      <c r="B10" s="136"/>
      <c r="C10" s="142"/>
      <c r="D10" s="142"/>
      <c r="E10" s="142"/>
      <c r="F10" s="142"/>
      <c r="G10" s="141"/>
    </row>
    <row r="11" spans="2:11" ht="21" thickBot="1">
      <c r="B11" s="107"/>
    </row>
    <row r="12" spans="2:11" ht="33" customHeight="1">
      <c r="B12" s="382" t="s">
        <v>218</v>
      </c>
      <c r="C12" s="384" t="s">
        <v>13</v>
      </c>
      <c r="D12" s="386" t="s">
        <v>223</v>
      </c>
      <c r="E12" s="388" t="s">
        <v>46</v>
      </c>
      <c r="F12" s="388"/>
      <c r="G12" s="388"/>
      <c r="H12" s="388" t="s">
        <v>196</v>
      </c>
      <c r="I12" s="116" t="s">
        <v>291</v>
      </c>
      <c r="J12" s="374" t="s">
        <v>207</v>
      </c>
    </row>
    <row r="13" spans="2:11" ht="18" thickBot="1">
      <c r="B13" s="383"/>
      <c r="C13" s="385"/>
      <c r="D13" s="387"/>
      <c r="E13" s="389"/>
      <c r="F13" s="389"/>
      <c r="G13" s="389"/>
      <c r="H13" s="389"/>
      <c r="I13" s="242">
        <f>SUM(I14:I49999)</f>
        <v>43050000</v>
      </c>
      <c r="J13" s="375"/>
    </row>
    <row r="14" spans="2:11">
      <c r="B14" s="236">
        <v>1</v>
      </c>
      <c r="C14" s="237">
        <v>45383</v>
      </c>
      <c r="D14" s="238" t="s">
        <v>224</v>
      </c>
      <c r="E14" s="379" t="s">
        <v>225</v>
      </c>
      <c r="F14" s="380"/>
      <c r="G14" s="381"/>
      <c r="H14" s="239" t="s">
        <v>199</v>
      </c>
      <c r="I14" s="240">
        <v>43000000</v>
      </c>
      <c r="J14" s="241"/>
    </row>
    <row r="15" spans="2:11">
      <c r="B15" s="117">
        <v>2</v>
      </c>
      <c r="C15" s="118">
        <v>45413</v>
      </c>
      <c r="D15" s="120"/>
      <c r="E15" s="376"/>
      <c r="F15" s="377"/>
      <c r="G15" s="378"/>
      <c r="H15" s="119" t="s">
        <v>199</v>
      </c>
      <c r="I15" s="121">
        <v>50000</v>
      </c>
      <c r="J15" s="122"/>
    </row>
    <row r="16" spans="2:11">
      <c r="B16" s="117">
        <v>3</v>
      </c>
      <c r="C16" s="124"/>
      <c r="D16" s="120"/>
      <c r="E16" s="376"/>
      <c r="F16" s="377"/>
      <c r="G16" s="378"/>
      <c r="H16" s="119"/>
      <c r="I16" s="121"/>
      <c r="J16" s="122"/>
    </row>
    <row r="17" spans="2:10">
      <c r="B17" s="117">
        <v>4</v>
      </c>
      <c r="C17" s="124"/>
      <c r="D17" s="120"/>
      <c r="E17" s="376"/>
      <c r="F17" s="377"/>
      <c r="G17" s="378"/>
      <c r="H17" s="119"/>
      <c r="I17" s="121"/>
      <c r="J17" s="122"/>
    </row>
    <row r="18" spans="2:10">
      <c r="B18" s="117">
        <v>5</v>
      </c>
      <c r="C18" s="124"/>
      <c r="D18" s="120"/>
      <c r="E18" s="376"/>
      <c r="F18" s="377"/>
      <c r="G18" s="378"/>
      <c r="H18" s="119"/>
      <c r="I18" s="121"/>
      <c r="J18" s="122"/>
    </row>
    <row r="19" spans="2:10">
      <c r="B19" s="117">
        <v>6</v>
      </c>
      <c r="C19" s="124"/>
      <c r="D19" s="120"/>
      <c r="E19" s="376"/>
      <c r="F19" s="377"/>
      <c r="G19" s="378"/>
      <c r="H19" s="119"/>
      <c r="I19" s="121"/>
      <c r="J19" s="122"/>
    </row>
    <row r="20" spans="2:10">
      <c r="B20" s="117">
        <v>7</v>
      </c>
      <c r="C20" s="124"/>
      <c r="D20" s="120"/>
      <c r="E20" s="376"/>
      <c r="F20" s="377"/>
      <c r="G20" s="378"/>
      <c r="H20" s="119"/>
      <c r="I20" s="121"/>
      <c r="J20" s="122"/>
    </row>
    <row r="21" spans="2:10">
      <c r="B21" s="117">
        <v>8</v>
      </c>
      <c r="C21" s="124"/>
      <c r="D21" s="120"/>
      <c r="E21" s="376"/>
      <c r="F21" s="377"/>
      <c r="G21" s="378"/>
      <c r="H21" s="119"/>
      <c r="I21" s="121"/>
      <c r="J21" s="122"/>
    </row>
    <row r="22" spans="2:10">
      <c r="B22" s="117">
        <v>9</v>
      </c>
      <c r="C22" s="124"/>
      <c r="D22" s="120"/>
      <c r="E22" s="376"/>
      <c r="F22" s="377"/>
      <c r="G22" s="378"/>
      <c r="H22" s="119"/>
      <c r="I22" s="121"/>
      <c r="J22" s="122"/>
    </row>
    <row r="23" spans="2:10">
      <c r="B23" s="117">
        <v>10</v>
      </c>
      <c r="C23" s="124"/>
      <c r="D23" s="120"/>
      <c r="E23" s="376"/>
      <c r="F23" s="377"/>
      <c r="G23" s="378"/>
      <c r="H23" s="119"/>
      <c r="I23" s="121"/>
      <c r="J23" s="122"/>
    </row>
    <row r="24" spans="2:10">
      <c r="B24" s="117">
        <v>11</v>
      </c>
      <c r="C24" s="124"/>
      <c r="D24" s="120"/>
      <c r="E24" s="376"/>
      <c r="F24" s="377"/>
      <c r="G24" s="378"/>
      <c r="H24" s="119"/>
      <c r="I24" s="121"/>
      <c r="J24" s="122"/>
    </row>
    <row r="25" spans="2:10">
      <c r="B25" s="117">
        <v>12</v>
      </c>
      <c r="C25" s="124"/>
      <c r="D25" s="120"/>
      <c r="E25" s="376"/>
      <c r="F25" s="377"/>
      <c r="G25" s="378"/>
      <c r="H25" s="119"/>
      <c r="I25" s="121"/>
      <c r="J25" s="122"/>
    </row>
    <row r="26" spans="2:10">
      <c r="B26" s="117">
        <v>13</v>
      </c>
      <c r="C26" s="124"/>
      <c r="D26" s="120"/>
      <c r="E26" s="376"/>
      <c r="F26" s="377"/>
      <c r="G26" s="378"/>
      <c r="H26" s="119"/>
      <c r="I26" s="121"/>
      <c r="J26" s="122"/>
    </row>
    <row r="27" spans="2:10">
      <c r="B27" s="117">
        <v>14</v>
      </c>
      <c r="C27" s="124"/>
      <c r="D27" s="120"/>
      <c r="E27" s="376"/>
      <c r="F27" s="377"/>
      <c r="G27" s="378"/>
      <c r="H27" s="119"/>
      <c r="I27" s="121"/>
      <c r="J27" s="122"/>
    </row>
    <row r="28" spans="2:10">
      <c r="B28" s="117">
        <v>15</v>
      </c>
      <c r="C28" s="124"/>
      <c r="D28" s="120"/>
      <c r="E28" s="376"/>
      <c r="F28" s="377"/>
      <c r="G28" s="378"/>
      <c r="H28" s="119"/>
      <c r="I28" s="121"/>
      <c r="J28" s="122"/>
    </row>
    <row r="29" spans="2:10">
      <c r="B29" s="117">
        <v>16</v>
      </c>
      <c r="C29" s="124"/>
      <c r="D29" s="120"/>
      <c r="E29" s="376"/>
      <c r="F29" s="377"/>
      <c r="G29" s="378"/>
      <c r="H29" s="119"/>
      <c r="I29" s="121"/>
      <c r="J29" s="122"/>
    </row>
    <row r="30" spans="2:10">
      <c r="B30" s="117">
        <v>17</v>
      </c>
      <c r="C30" s="124"/>
      <c r="D30" s="120"/>
      <c r="E30" s="376"/>
      <c r="F30" s="377"/>
      <c r="G30" s="378"/>
      <c r="H30" s="119"/>
      <c r="I30" s="121"/>
      <c r="J30" s="122"/>
    </row>
    <row r="31" spans="2:10">
      <c r="B31" s="117">
        <v>18</v>
      </c>
      <c r="C31" s="124"/>
      <c r="D31" s="120"/>
      <c r="E31" s="376"/>
      <c r="F31" s="377"/>
      <c r="G31" s="378"/>
      <c r="H31" s="119"/>
      <c r="I31" s="121"/>
      <c r="J31" s="122"/>
    </row>
    <row r="32" spans="2:10">
      <c r="B32" s="117">
        <v>19</v>
      </c>
      <c r="C32" s="124"/>
      <c r="D32" s="120"/>
      <c r="E32" s="376"/>
      <c r="F32" s="377"/>
      <c r="G32" s="378"/>
      <c r="H32" s="119"/>
      <c r="I32" s="121"/>
      <c r="J32" s="122"/>
    </row>
    <row r="33" spans="2:10">
      <c r="B33" s="117">
        <v>20</v>
      </c>
      <c r="C33" s="124"/>
      <c r="D33" s="120"/>
      <c r="E33" s="376"/>
      <c r="F33" s="377"/>
      <c r="G33" s="378"/>
      <c r="H33" s="119"/>
      <c r="I33" s="121"/>
      <c r="J33" s="122"/>
    </row>
    <row r="34" spans="2:10">
      <c r="B34" s="117">
        <v>21</v>
      </c>
      <c r="C34" s="124"/>
      <c r="D34" s="120"/>
      <c r="E34" s="376"/>
      <c r="F34" s="377"/>
      <c r="G34" s="378"/>
      <c r="H34" s="119"/>
      <c r="I34" s="121"/>
      <c r="J34" s="122"/>
    </row>
    <row r="35" spans="2:10">
      <c r="B35" s="117">
        <v>22</v>
      </c>
      <c r="C35" s="124"/>
      <c r="D35" s="120"/>
      <c r="E35" s="376"/>
      <c r="F35" s="377"/>
      <c r="G35" s="378"/>
      <c r="H35" s="119"/>
      <c r="I35" s="121"/>
      <c r="J35" s="122"/>
    </row>
    <row r="36" spans="2:10">
      <c r="B36" s="117">
        <v>23</v>
      </c>
      <c r="C36" s="124"/>
      <c r="D36" s="120"/>
      <c r="E36" s="376"/>
      <c r="F36" s="377"/>
      <c r="G36" s="378"/>
      <c r="H36" s="119"/>
      <c r="I36" s="121"/>
      <c r="J36" s="122"/>
    </row>
    <row r="37" spans="2:10">
      <c r="B37" s="117">
        <v>24</v>
      </c>
      <c r="C37" s="124"/>
      <c r="D37" s="120"/>
      <c r="E37" s="376"/>
      <c r="F37" s="377"/>
      <c r="G37" s="378"/>
      <c r="H37" s="119"/>
      <c r="I37" s="121"/>
      <c r="J37" s="122"/>
    </row>
    <row r="38" spans="2:10">
      <c r="B38" s="117">
        <v>25</v>
      </c>
      <c r="C38" s="124"/>
      <c r="D38" s="120"/>
      <c r="E38" s="376"/>
      <c r="F38" s="377"/>
      <c r="G38" s="378"/>
      <c r="H38" s="119"/>
      <c r="I38" s="121"/>
      <c r="J38" s="122"/>
    </row>
    <row r="39" spans="2:10">
      <c r="B39" s="117">
        <v>26</v>
      </c>
      <c r="C39" s="124"/>
      <c r="D39" s="120"/>
      <c r="E39" s="376"/>
      <c r="F39" s="377"/>
      <c r="G39" s="378"/>
      <c r="H39" s="119"/>
      <c r="I39" s="121"/>
      <c r="J39" s="122"/>
    </row>
    <row r="40" spans="2:10">
      <c r="B40" s="117">
        <v>27</v>
      </c>
      <c r="C40" s="124"/>
      <c r="D40" s="120"/>
      <c r="E40" s="376"/>
      <c r="F40" s="377"/>
      <c r="G40" s="378"/>
      <c r="H40" s="119"/>
      <c r="I40" s="121"/>
      <c r="J40" s="122"/>
    </row>
    <row r="41" spans="2:10">
      <c r="B41" s="117">
        <v>28</v>
      </c>
      <c r="C41" s="124"/>
      <c r="D41" s="120"/>
      <c r="E41" s="376"/>
      <c r="F41" s="377"/>
      <c r="G41" s="378"/>
      <c r="H41" s="119"/>
      <c r="I41" s="121"/>
      <c r="J41" s="122"/>
    </row>
    <row r="42" spans="2:10">
      <c r="B42" s="117">
        <v>29</v>
      </c>
      <c r="C42" s="124"/>
      <c r="D42" s="120"/>
      <c r="E42" s="376"/>
      <c r="F42" s="377"/>
      <c r="G42" s="378"/>
      <c r="H42" s="119"/>
      <c r="I42" s="121"/>
      <c r="J42" s="122"/>
    </row>
    <row r="43" spans="2:10">
      <c r="B43" s="117">
        <v>30</v>
      </c>
      <c r="C43" s="124"/>
      <c r="D43" s="120"/>
      <c r="E43" s="376"/>
      <c r="F43" s="377"/>
      <c r="G43" s="378"/>
      <c r="H43" s="119"/>
      <c r="I43" s="121"/>
      <c r="J43" s="122"/>
    </row>
    <row r="44" spans="2:10">
      <c r="B44" s="117">
        <v>31</v>
      </c>
      <c r="C44" s="124"/>
      <c r="D44" s="120"/>
      <c r="E44" s="376"/>
      <c r="F44" s="377"/>
      <c r="G44" s="378"/>
      <c r="H44" s="119"/>
      <c r="I44" s="121"/>
      <c r="J44" s="122"/>
    </row>
    <row r="45" spans="2:10">
      <c r="B45" s="117">
        <v>32</v>
      </c>
      <c r="C45" s="125"/>
      <c r="D45" s="126"/>
      <c r="E45" s="376"/>
      <c r="F45" s="377"/>
      <c r="G45" s="378"/>
      <c r="H45" s="126"/>
      <c r="I45" s="127"/>
      <c r="J45" s="128"/>
    </row>
  </sheetData>
  <mergeCells count="39">
    <mergeCell ref="E42:G42"/>
    <mergeCell ref="E43:G43"/>
    <mergeCell ref="E44:G44"/>
    <mergeCell ref="E45:G45"/>
    <mergeCell ref="E41:G41"/>
    <mergeCell ref="E38:G38"/>
    <mergeCell ref="E39:G39"/>
    <mergeCell ref="E30:G30"/>
    <mergeCell ref="E31:G31"/>
    <mergeCell ref="E32:G32"/>
    <mergeCell ref="E33:G33"/>
    <mergeCell ref="E34:G34"/>
    <mergeCell ref="E40:G40"/>
    <mergeCell ref="E29:G29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35:G35"/>
    <mergeCell ref="E36:G36"/>
    <mergeCell ref="E37:G37"/>
    <mergeCell ref="J12:J13"/>
    <mergeCell ref="E17:G17"/>
    <mergeCell ref="B2:H3"/>
    <mergeCell ref="E14:G14"/>
    <mergeCell ref="E15:G15"/>
    <mergeCell ref="E16:G16"/>
    <mergeCell ref="B12:B13"/>
    <mergeCell ref="C12:C13"/>
    <mergeCell ref="D12:D13"/>
    <mergeCell ref="E12:G13"/>
    <mergeCell ref="H12:H13"/>
  </mergeCells>
  <phoneticPr fontId="73" type="noConversion"/>
  <dataValidations count="1">
    <dataValidation allowBlank="1" showInputMessage="1" sqref="E14:E30 F11:G11 F15:G30 C14:C30 C11:C12 D14:D30 D11:D12 E11:E12 I11:I30 H11:H12 H14:H30" xr:uid="{38BFB5B2-656E-46FE-A7DA-99762E1F9F0E}"/>
  </dataValidations>
  <pageMargins left="0.70866141732283472" right="0.70866141732283472" top="0.74803149606299213" bottom="0.74803149606299213" header="0.31496062992125984" footer="0.31496062992125984"/>
  <pageSetup paperSize="9" scale="66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70D0C-D5F9-4417-8A1E-B883934CFD74}">
  <sheetPr>
    <tabColor theme="6" tint="0.39997558519241921"/>
  </sheetPr>
  <dimension ref="B1:P163"/>
  <sheetViews>
    <sheetView showGridLines="0" topLeftCell="A9" zoomScaleNormal="100" workbookViewId="0">
      <pane xSplit="12" ySplit="12" topLeftCell="M21" activePane="bottomRight" state="frozen"/>
      <selection activeCell="A9" sqref="A9"/>
      <selection pane="topRight" activeCell="M9" sqref="M9"/>
      <selection pane="bottomLeft" activeCell="A21" sqref="A21"/>
      <selection pane="bottomRight" activeCell="I38" sqref="I38"/>
    </sheetView>
  </sheetViews>
  <sheetFormatPr defaultColWidth="9" defaultRowHeight="16.5" outlineLevelRow="1"/>
  <cols>
    <col min="1" max="1" width="3" style="115" customWidth="1"/>
    <col min="2" max="2" width="9" style="115"/>
    <col min="3" max="3" width="11.625" style="115" bestFit="1" customWidth="1"/>
    <col min="4" max="4" width="22.5" style="115" customWidth="1"/>
    <col min="5" max="5" width="20.25" style="115" customWidth="1"/>
    <col min="6" max="6" width="19.25" style="115" customWidth="1"/>
    <col min="7" max="8" width="18.5" style="115" customWidth="1"/>
    <col min="9" max="9" width="15.75" style="115" customWidth="1"/>
    <col min="10" max="11" width="13.25" style="115" customWidth="1"/>
    <col min="12" max="12" width="3.5" style="115" customWidth="1"/>
    <col min="13" max="14" width="9" style="115"/>
    <col min="15" max="15" width="10.25" style="115" customWidth="1"/>
    <col min="16" max="16" width="11.625" style="115" customWidth="1"/>
    <col min="17" max="16384" width="9" style="115"/>
  </cols>
  <sheetData>
    <row r="1" spans="2:16" hidden="1" outlineLevel="1"/>
    <row r="2" spans="2:16" hidden="1" outlineLevel="1">
      <c r="I2" s="155" t="s">
        <v>194</v>
      </c>
      <c r="J2" s="155" t="s">
        <v>243</v>
      </c>
    </row>
    <row r="3" spans="2:16" hidden="1" outlineLevel="1">
      <c r="I3" s="153" t="s">
        <v>240</v>
      </c>
      <c r="J3" s="156">
        <f>SUMIF($D$21:$D$50000,I3,$J$21:$J$50000)</f>
        <v>351456</v>
      </c>
    </row>
    <row r="4" spans="2:16" hidden="1" outlineLevel="1">
      <c r="I4" s="154" t="s">
        <v>241</v>
      </c>
      <c r="J4" s="156">
        <f>SUMIF($D$21:$D$50000,I4,$J$21:$J$50000)</f>
        <v>50000</v>
      </c>
    </row>
    <row r="5" spans="2:16" hidden="1" outlineLevel="1">
      <c r="I5" s="154" t="s">
        <v>53</v>
      </c>
      <c r="J5" s="156">
        <f>SUMIF($D$21:$D$50000,I5,$J$21:$J$50000)</f>
        <v>0</v>
      </c>
    </row>
    <row r="6" spans="2:16" hidden="1" outlineLevel="1">
      <c r="I6" s="154" t="s">
        <v>47</v>
      </c>
      <c r="J6" s="156">
        <f>SUMIF($D$21:$D$50000,I6,$J$21:$J$50000)</f>
        <v>0</v>
      </c>
    </row>
    <row r="7" spans="2:16" hidden="1" outlineLevel="1">
      <c r="I7" s="155" t="s">
        <v>244</v>
      </c>
      <c r="J7" s="157">
        <f>SUM(J3:J6)</f>
        <v>401456</v>
      </c>
    </row>
    <row r="8" spans="2:16" hidden="1" outlineLevel="1">
      <c r="I8" s="244"/>
      <c r="J8" s="135">
        <f>+J7-J20</f>
        <v>0</v>
      </c>
    </row>
    <row r="9" spans="2:16" ht="6.75" customHeight="1" collapsed="1">
      <c r="I9" s="244"/>
      <c r="J9" s="245"/>
    </row>
    <row r="10" spans="2:16" ht="10.5" customHeight="1">
      <c r="I10" s="244"/>
      <c r="J10" s="245"/>
    </row>
    <row r="11" spans="2:16" ht="6.75" customHeight="1" thickBot="1"/>
    <row r="12" spans="2:16" ht="17.25" thickBot="1">
      <c r="N12" s="402" t="s">
        <v>256</v>
      </c>
      <c r="O12" s="403"/>
      <c r="P12" s="404"/>
    </row>
    <row r="13" spans="2:16" ht="21.75" customHeight="1">
      <c r="B13" s="362" t="s">
        <v>232</v>
      </c>
      <c r="C13" s="362"/>
      <c r="D13" s="362"/>
      <c r="E13" s="206"/>
      <c r="F13" s="146" t="s">
        <v>194</v>
      </c>
      <c r="G13" s="146" t="s">
        <v>240</v>
      </c>
      <c r="H13" s="146" t="s">
        <v>241</v>
      </c>
      <c r="I13" s="146" t="s">
        <v>53</v>
      </c>
      <c r="J13" s="147" t="s">
        <v>47</v>
      </c>
      <c r="K13" s="151" t="s">
        <v>242</v>
      </c>
      <c r="N13" s="405" t="s">
        <v>258</v>
      </c>
      <c r="O13" s="406"/>
      <c r="P13" s="202">
        <f>+'사업비 사용실적 명세서'!G24</f>
        <v>53300000</v>
      </c>
    </row>
    <row r="14" spans="2:16" ht="21.75" customHeight="1" thickBot="1">
      <c r="B14" s="362"/>
      <c r="C14" s="362"/>
      <c r="D14" s="362"/>
      <c r="E14" s="206"/>
      <c r="F14" s="129" t="s">
        <v>219</v>
      </c>
      <c r="G14" s="132">
        <f>+'사업비 사용실적 명세서'!G34</f>
        <v>900000</v>
      </c>
      <c r="H14" s="132">
        <f>+'사업비 사용실적 명세서'!G35</f>
        <v>800000</v>
      </c>
      <c r="I14" s="132">
        <f>+'사업비 사용실적 명세서'!G36</f>
        <v>700000</v>
      </c>
      <c r="J14" s="148">
        <f>+'사업비 사용실적 명세서'!G37</f>
        <v>600000</v>
      </c>
      <c r="K14" s="152">
        <f>+G14+H14+I14+J14</f>
        <v>3000000</v>
      </c>
      <c r="L14" s="135"/>
      <c r="N14" s="407" t="s">
        <v>257</v>
      </c>
      <c r="O14" s="408"/>
      <c r="P14" s="203">
        <f>+H14</f>
        <v>800000</v>
      </c>
    </row>
    <row r="15" spans="2:16" ht="21" thickBot="1">
      <c r="B15" s="107"/>
      <c r="F15" s="130" t="s">
        <v>220</v>
      </c>
      <c r="G15" s="133">
        <f>+'사업비 사용실적 명세서'!I34</f>
        <v>351456</v>
      </c>
      <c r="H15" s="133">
        <f>+'사업비 사용실적 명세서'!I35</f>
        <v>50000</v>
      </c>
      <c r="I15" s="133">
        <f>+'사업비 사용실적 명세서'!I36</f>
        <v>0</v>
      </c>
      <c r="J15" s="149">
        <f>+'사업비 사용실적 명세서'!I37</f>
        <v>0</v>
      </c>
      <c r="K15" s="152">
        <f>+G15+H15+I15+J15</f>
        <v>401456</v>
      </c>
      <c r="L15" s="135">
        <f>+J20-K15</f>
        <v>0</v>
      </c>
      <c r="N15" s="409" t="s">
        <v>263</v>
      </c>
      <c r="O15" s="410"/>
      <c r="P15" s="204">
        <f>+P14/P13</f>
        <v>1.50093808630394E-2</v>
      </c>
    </row>
    <row r="16" spans="2:16" ht="21" thickBot="1">
      <c r="B16" s="107"/>
      <c r="F16" s="131" t="s">
        <v>221</v>
      </c>
      <c r="G16" s="134">
        <f>+G14-G15</f>
        <v>548544</v>
      </c>
      <c r="H16" s="134">
        <f>+H14-H15</f>
        <v>750000</v>
      </c>
      <c r="I16" s="134">
        <f>+I14-I15</f>
        <v>700000</v>
      </c>
      <c r="J16" s="150">
        <f t="shared" ref="J16:K16" si="0">+J14-J15</f>
        <v>600000</v>
      </c>
      <c r="K16" s="134">
        <f t="shared" si="0"/>
        <v>2598544</v>
      </c>
      <c r="N16" s="411"/>
      <c r="O16" s="412"/>
      <c r="P16" s="205" t="str">
        <f>IF(P15&gt;10%,"초과설정","OK")</f>
        <v>OK</v>
      </c>
    </row>
    <row r="17" spans="2:11" ht="9" customHeight="1">
      <c r="B17" s="107"/>
      <c r="J17" s="138"/>
      <c r="K17" s="139"/>
    </row>
    <row r="18" spans="2:11" ht="9" customHeight="1" thickBot="1">
      <c r="B18" s="107"/>
    </row>
    <row r="19" spans="2:11" ht="30.75" customHeight="1">
      <c r="B19" s="363" t="s">
        <v>218</v>
      </c>
      <c r="C19" s="365" t="s">
        <v>13</v>
      </c>
      <c r="D19" s="365" t="s">
        <v>65</v>
      </c>
      <c r="E19" s="358" t="s">
        <v>290</v>
      </c>
      <c r="F19" s="396" t="s">
        <v>46</v>
      </c>
      <c r="G19" s="397"/>
      <c r="H19" s="398"/>
      <c r="I19" s="358" t="s">
        <v>196</v>
      </c>
      <c r="J19" s="116" t="s">
        <v>291</v>
      </c>
      <c r="K19" s="360" t="s">
        <v>207</v>
      </c>
    </row>
    <row r="20" spans="2:11" ht="18" thickBot="1">
      <c r="B20" s="364"/>
      <c r="C20" s="366"/>
      <c r="D20" s="366"/>
      <c r="E20" s="359"/>
      <c r="F20" s="399"/>
      <c r="G20" s="400"/>
      <c r="H20" s="401"/>
      <c r="I20" s="359"/>
      <c r="J20" s="243">
        <f>SUM(J21:J50000)</f>
        <v>401456</v>
      </c>
      <c r="K20" s="361"/>
    </row>
    <row r="21" spans="2:11">
      <c r="B21" s="236">
        <v>1</v>
      </c>
      <c r="C21" s="237">
        <v>45383</v>
      </c>
      <c r="D21" s="239" t="s">
        <v>234</v>
      </c>
      <c r="E21" s="238" t="s">
        <v>197</v>
      </c>
      <c r="F21" s="393" t="s">
        <v>198</v>
      </c>
      <c r="G21" s="394"/>
      <c r="H21" s="395"/>
      <c r="I21" s="239" t="s">
        <v>199</v>
      </c>
      <c r="J21" s="240">
        <v>321456</v>
      </c>
      <c r="K21" s="241"/>
    </row>
    <row r="22" spans="2:11">
      <c r="B22" s="117">
        <v>2</v>
      </c>
      <c r="C22" s="118">
        <v>45413</v>
      </c>
      <c r="D22" s="119" t="s">
        <v>236</v>
      </c>
      <c r="E22" s="120" t="s">
        <v>200</v>
      </c>
      <c r="F22" s="390" t="s">
        <v>201</v>
      </c>
      <c r="G22" s="391"/>
      <c r="H22" s="392"/>
      <c r="I22" s="119" t="s">
        <v>199</v>
      </c>
      <c r="J22" s="121">
        <v>50000</v>
      </c>
      <c r="K22" s="122"/>
    </row>
    <row r="23" spans="2:11">
      <c r="B23" s="117">
        <v>3</v>
      </c>
      <c r="C23" s="124"/>
      <c r="D23" s="119" t="s">
        <v>234</v>
      </c>
      <c r="E23" s="120"/>
      <c r="F23" s="390"/>
      <c r="G23" s="391"/>
      <c r="H23" s="392"/>
      <c r="I23" s="119"/>
      <c r="J23" s="121">
        <v>30000</v>
      </c>
      <c r="K23" s="122"/>
    </row>
    <row r="24" spans="2:11">
      <c r="B24" s="117">
        <v>4</v>
      </c>
      <c r="C24" s="124"/>
      <c r="D24" s="119" t="s">
        <v>63</v>
      </c>
      <c r="E24" s="120"/>
      <c r="F24" s="390"/>
      <c r="G24" s="391"/>
      <c r="H24" s="392"/>
      <c r="I24" s="119"/>
      <c r="J24" s="121"/>
      <c r="K24" s="122"/>
    </row>
    <row r="25" spans="2:11">
      <c r="B25" s="117">
        <v>5</v>
      </c>
      <c r="C25" s="124"/>
      <c r="D25" s="119"/>
      <c r="E25" s="120"/>
      <c r="F25" s="390"/>
      <c r="G25" s="391"/>
      <c r="H25" s="392"/>
      <c r="I25" s="119"/>
      <c r="J25" s="121"/>
      <c r="K25" s="122"/>
    </row>
    <row r="26" spans="2:11">
      <c r="B26" s="117">
        <v>6</v>
      </c>
      <c r="C26" s="124"/>
      <c r="D26" s="119"/>
      <c r="E26" s="120"/>
      <c r="F26" s="390"/>
      <c r="G26" s="391"/>
      <c r="H26" s="392"/>
      <c r="I26" s="119"/>
      <c r="J26" s="121"/>
      <c r="K26" s="122"/>
    </row>
    <row r="27" spans="2:11">
      <c r="B27" s="117">
        <v>7</v>
      </c>
      <c r="C27" s="124"/>
      <c r="D27" s="119"/>
      <c r="E27" s="120"/>
      <c r="F27" s="390"/>
      <c r="G27" s="391"/>
      <c r="H27" s="392"/>
      <c r="I27" s="119"/>
      <c r="J27" s="121"/>
      <c r="K27" s="122"/>
    </row>
    <row r="28" spans="2:11">
      <c r="B28" s="117">
        <v>8</v>
      </c>
      <c r="C28" s="124"/>
      <c r="D28" s="119"/>
      <c r="E28" s="120"/>
      <c r="F28" s="390"/>
      <c r="G28" s="391"/>
      <c r="H28" s="392"/>
      <c r="I28" s="119"/>
      <c r="J28" s="121"/>
      <c r="K28" s="122"/>
    </row>
    <row r="29" spans="2:11">
      <c r="B29" s="117">
        <v>9</v>
      </c>
      <c r="C29" s="124"/>
      <c r="D29" s="119"/>
      <c r="E29" s="120"/>
      <c r="F29" s="390"/>
      <c r="G29" s="391"/>
      <c r="H29" s="392"/>
      <c r="I29" s="119"/>
      <c r="J29" s="121"/>
      <c r="K29" s="122"/>
    </row>
    <row r="30" spans="2:11">
      <c r="B30" s="117">
        <v>10</v>
      </c>
      <c r="C30" s="124"/>
      <c r="D30" s="119"/>
      <c r="E30" s="120"/>
      <c r="F30" s="390"/>
      <c r="G30" s="391"/>
      <c r="H30" s="392"/>
      <c r="I30" s="119"/>
      <c r="J30" s="121"/>
      <c r="K30" s="122"/>
    </row>
    <row r="31" spans="2:11">
      <c r="B31" s="117">
        <v>11</v>
      </c>
      <c r="C31" s="124"/>
      <c r="D31" s="119"/>
      <c r="E31" s="120"/>
      <c r="F31" s="390"/>
      <c r="G31" s="391"/>
      <c r="H31" s="392"/>
      <c r="I31" s="119"/>
      <c r="J31" s="121"/>
      <c r="K31" s="122"/>
    </row>
    <row r="32" spans="2:11">
      <c r="B32" s="117">
        <v>12</v>
      </c>
      <c r="C32" s="124"/>
      <c r="D32" s="119"/>
      <c r="E32" s="120"/>
      <c r="F32" s="390"/>
      <c r="G32" s="391"/>
      <c r="H32" s="392"/>
      <c r="I32" s="119"/>
      <c r="J32" s="121"/>
      <c r="K32" s="122"/>
    </row>
    <row r="33" spans="2:11">
      <c r="B33" s="117">
        <v>13</v>
      </c>
      <c r="C33" s="124"/>
      <c r="D33" s="119"/>
      <c r="E33" s="120"/>
      <c r="F33" s="390"/>
      <c r="G33" s="391"/>
      <c r="H33" s="392"/>
      <c r="I33" s="119"/>
      <c r="J33" s="121"/>
      <c r="K33" s="122"/>
    </row>
    <row r="34" spans="2:11">
      <c r="B34" s="117">
        <v>14</v>
      </c>
      <c r="C34" s="124"/>
      <c r="D34" s="119"/>
      <c r="E34" s="120"/>
      <c r="F34" s="390"/>
      <c r="G34" s="391"/>
      <c r="H34" s="392"/>
      <c r="I34" s="119"/>
      <c r="J34" s="121"/>
      <c r="K34" s="122"/>
    </row>
    <row r="35" spans="2:11">
      <c r="B35" s="117">
        <v>15</v>
      </c>
      <c r="C35" s="124"/>
      <c r="D35" s="119"/>
      <c r="E35" s="120"/>
      <c r="F35" s="390"/>
      <c r="G35" s="391"/>
      <c r="H35" s="392"/>
      <c r="I35" s="119"/>
      <c r="J35" s="121"/>
      <c r="K35" s="122"/>
    </row>
    <row r="36" spans="2:11">
      <c r="B36" s="117">
        <v>16</v>
      </c>
      <c r="C36" s="124"/>
      <c r="D36" s="119"/>
      <c r="E36" s="120"/>
      <c r="F36" s="390"/>
      <c r="G36" s="391"/>
      <c r="H36" s="392"/>
      <c r="I36" s="119"/>
      <c r="J36" s="121"/>
      <c r="K36" s="122"/>
    </row>
    <row r="37" spans="2:11">
      <c r="B37" s="117">
        <v>17</v>
      </c>
      <c r="C37" s="124"/>
      <c r="D37" s="119"/>
      <c r="E37" s="120"/>
      <c r="F37" s="390"/>
      <c r="G37" s="391"/>
      <c r="H37" s="392"/>
      <c r="I37" s="119"/>
      <c r="J37" s="121"/>
      <c r="K37" s="122"/>
    </row>
    <row r="38" spans="2:11">
      <c r="B38" s="117">
        <v>18</v>
      </c>
      <c r="C38" s="124"/>
      <c r="D38" s="119"/>
      <c r="E38" s="120"/>
      <c r="F38" s="390"/>
      <c r="G38" s="391"/>
      <c r="H38" s="392"/>
      <c r="I38" s="119"/>
      <c r="J38" s="121"/>
      <c r="K38" s="122"/>
    </row>
    <row r="39" spans="2:11">
      <c r="B39" s="117">
        <v>19</v>
      </c>
      <c r="C39" s="124"/>
      <c r="D39" s="119"/>
      <c r="E39" s="120"/>
      <c r="F39" s="390"/>
      <c r="G39" s="391"/>
      <c r="H39" s="392"/>
      <c r="I39" s="119"/>
      <c r="J39" s="121"/>
      <c r="K39" s="122"/>
    </row>
    <row r="40" spans="2:11">
      <c r="B40" s="117">
        <v>20</v>
      </c>
      <c r="C40" s="124"/>
      <c r="D40" s="119"/>
      <c r="E40" s="120"/>
      <c r="F40" s="390"/>
      <c r="G40" s="391"/>
      <c r="H40" s="392"/>
      <c r="I40" s="119"/>
      <c r="J40" s="121"/>
      <c r="K40" s="122"/>
    </row>
    <row r="41" spans="2:11">
      <c r="B41" s="117">
        <v>21</v>
      </c>
      <c r="C41" s="124"/>
      <c r="D41" s="119"/>
      <c r="E41" s="120"/>
      <c r="F41" s="390"/>
      <c r="G41" s="391"/>
      <c r="H41" s="392"/>
      <c r="I41" s="119"/>
      <c r="J41" s="121"/>
      <c r="K41" s="122"/>
    </row>
    <row r="42" spans="2:11">
      <c r="B42" s="117">
        <v>22</v>
      </c>
      <c r="C42" s="124"/>
      <c r="D42" s="119"/>
      <c r="E42" s="120"/>
      <c r="F42" s="390"/>
      <c r="G42" s="391"/>
      <c r="H42" s="392"/>
      <c r="I42" s="119"/>
      <c r="J42" s="121"/>
      <c r="K42" s="122"/>
    </row>
    <row r="43" spans="2:11">
      <c r="B43" s="117">
        <v>23</v>
      </c>
      <c r="C43" s="124"/>
      <c r="D43" s="119"/>
      <c r="E43" s="120"/>
      <c r="F43" s="390"/>
      <c r="G43" s="391"/>
      <c r="H43" s="392"/>
      <c r="I43" s="119"/>
      <c r="J43" s="121"/>
      <c r="K43" s="122"/>
    </row>
    <row r="44" spans="2:11">
      <c r="B44" s="117">
        <v>24</v>
      </c>
      <c r="C44" s="124"/>
      <c r="D44" s="119"/>
      <c r="E44" s="120"/>
      <c r="F44" s="390"/>
      <c r="G44" s="391"/>
      <c r="H44" s="392"/>
      <c r="I44" s="119"/>
      <c r="J44" s="121"/>
      <c r="K44" s="122"/>
    </row>
    <row r="45" spans="2:11">
      <c r="B45" s="117">
        <v>25</v>
      </c>
      <c r="C45" s="124"/>
      <c r="D45" s="119"/>
      <c r="E45" s="120"/>
      <c r="F45" s="390"/>
      <c r="G45" s="391"/>
      <c r="H45" s="392"/>
      <c r="I45" s="119"/>
      <c r="J45" s="121"/>
      <c r="K45" s="122"/>
    </row>
    <row r="46" spans="2:11">
      <c r="B46" s="117">
        <v>26</v>
      </c>
      <c r="C46" s="124"/>
      <c r="D46" s="119"/>
      <c r="E46" s="120"/>
      <c r="F46" s="390"/>
      <c r="G46" s="391"/>
      <c r="H46" s="392"/>
      <c r="I46" s="119"/>
      <c r="J46" s="121"/>
      <c r="K46" s="122"/>
    </row>
    <row r="47" spans="2:11">
      <c r="B47" s="117">
        <v>27</v>
      </c>
      <c r="C47" s="124"/>
      <c r="D47" s="119"/>
      <c r="E47" s="120"/>
      <c r="F47" s="390"/>
      <c r="G47" s="391"/>
      <c r="H47" s="392"/>
      <c r="I47" s="119"/>
      <c r="J47" s="121"/>
      <c r="K47" s="122"/>
    </row>
    <row r="48" spans="2:11">
      <c r="B48" s="117">
        <v>28</v>
      </c>
      <c r="C48" s="124"/>
      <c r="D48" s="119"/>
      <c r="E48" s="120"/>
      <c r="F48" s="390"/>
      <c r="G48" s="391"/>
      <c r="H48" s="392"/>
      <c r="I48" s="119"/>
      <c r="J48" s="121"/>
      <c r="K48" s="122"/>
    </row>
    <row r="49" spans="2:11">
      <c r="B49" s="117">
        <v>29</v>
      </c>
      <c r="C49" s="124"/>
      <c r="D49" s="119"/>
      <c r="E49" s="120"/>
      <c r="F49" s="390"/>
      <c r="G49" s="391"/>
      <c r="H49" s="392"/>
      <c r="I49" s="119"/>
      <c r="J49" s="121"/>
      <c r="K49" s="122"/>
    </row>
    <row r="50" spans="2:11">
      <c r="B50" s="117">
        <v>30</v>
      </c>
      <c r="C50" s="124"/>
      <c r="D50" s="119"/>
      <c r="E50" s="120"/>
      <c r="F50" s="390"/>
      <c r="G50" s="391"/>
      <c r="H50" s="392"/>
      <c r="I50" s="119"/>
      <c r="J50" s="121"/>
      <c r="K50" s="122"/>
    </row>
    <row r="51" spans="2:11">
      <c r="B51" s="117">
        <v>31</v>
      </c>
      <c r="C51" s="124"/>
      <c r="D51" s="119"/>
      <c r="E51" s="120"/>
      <c r="F51" s="390"/>
      <c r="G51" s="391"/>
      <c r="H51" s="392"/>
      <c r="I51" s="119"/>
      <c r="J51" s="121"/>
      <c r="K51" s="122"/>
    </row>
    <row r="52" spans="2:11">
      <c r="B52" s="117">
        <v>32</v>
      </c>
      <c r="C52" s="124"/>
      <c r="D52" s="119"/>
      <c r="E52" s="120"/>
      <c r="F52" s="390"/>
      <c r="G52" s="391"/>
      <c r="H52" s="392"/>
      <c r="I52" s="119"/>
      <c r="J52" s="121"/>
      <c r="K52" s="122"/>
    </row>
    <row r="53" spans="2:11">
      <c r="B53" s="117">
        <v>33</v>
      </c>
      <c r="C53" s="124"/>
      <c r="D53" s="119"/>
      <c r="E53" s="120"/>
      <c r="F53" s="390"/>
      <c r="G53" s="391"/>
      <c r="H53" s="392"/>
      <c r="I53" s="119"/>
      <c r="J53" s="121"/>
      <c r="K53" s="122"/>
    </row>
    <row r="54" spans="2:11">
      <c r="B54" s="117">
        <v>34</v>
      </c>
      <c r="C54" s="124"/>
      <c r="D54" s="119"/>
      <c r="E54" s="120"/>
      <c r="F54" s="390"/>
      <c r="G54" s="391"/>
      <c r="H54" s="392"/>
      <c r="I54" s="119"/>
      <c r="J54" s="121"/>
      <c r="K54" s="122"/>
    </row>
    <row r="55" spans="2:11">
      <c r="B55" s="117">
        <v>35</v>
      </c>
      <c r="C55" s="124"/>
      <c r="D55" s="119"/>
      <c r="E55" s="120"/>
      <c r="F55" s="390"/>
      <c r="G55" s="391"/>
      <c r="H55" s="392"/>
      <c r="I55" s="119"/>
      <c r="J55" s="121"/>
      <c r="K55" s="122"/>
    </row>
    <row r="56" spans="2:11">
      <c r="B56" s="117">
        <v>36</v>
      </c>
      <c r="C56" s="124"/>
      <c r="D56" s="119"/>
      <c r="E56" s="120"/>
      <c r="F56" s="390"/>
      <c r="G56" s="391"/>
      <c r="H56" s="392"/>
      <c r="I56" s="119"/>
      <c r="J56" s="121"/>
      <c r="K56" s="122"/>
    </row>
    <row r="57" spans="2:11">
      <c r="B57" s="117">
        <v>37</v>
      </c>
      <c r="C57" s="124"/>
      <c r="D57" s="119"/>
      <c r="E57" s="120"/>
      <c r="F57" s="390"/>
      <c r="G57" s="391"/>
      <c r="H57" s="392"/>
      <c r="I57" s="119"/>
      <c r="J57" s="121"/>
      <c r="K57" s="122"/>
    </row>
    <row r="58" spans="2:11">
      <c r="B58" s="117">
        <v>38</v>
      </c>
      <c r="C58" s="124"/>
      <c r="D58" s="119"/>
      <c r="E58" s="120"/>
      <c r="F58" s="390"/>
      <c r="G58" s="391"/>
      <c r="H58" s="392"/>
      <c r="I58" s="119"/>
      <c r="J58" s="121"/>
      <c r="K58" s="122"/>
    </row>
    <row r="59" spans="2:11">
      <c r="B59" s="117">
        <v>39</v>
      </c>
      <c r="C59" s="124"/>
      <c r="D59" s="119"/>
      <c r="E59" s="120"/>
      <c r="F59" s="390"/>
      <c r="G59" s="391"/>
      <c r="H59" s="392"/>
      <c r="I59" s="119"/>
      <c r="J59" s="121"/>
      <c r="K59" s="122"/>
    </row>
    <row r="60" spans="2:11">
      <c r="B60" s="117">
        <v>40</v>
      </c>
      <c r="C60" s="124"/>
      <c r="D60" s="119"/>
      <c r="E60" s="120"/>
      <c r="F60" s="390"/>
      <c r="G60" s="391"/>
      <c r="H60" s="392"/>
      <c r="I60" s="119"/>
      <c r="J60" s="121"/>
      <c r="K60" s="122"/>
    </row>
    <row r="61" spans="2:11">
      <c r="B61" s="117">
        <v>41</v>
      </c>
      <c r="C61" s="124"/>
      <c r="D61" s="119"/>
      <c r="E61" s="120"/>
      <c r="F61" s="390"/>
      <c r="G61" s="391"/>
      <c r="H61" s="392"/>
      <c r="I61" s="119"/>
      <c r="J61" s="121"/>
      <c r="K61" s="122"/>
    </row>
    <row r="62" spans="2:11">
      <c r="B62" s="117">
        <v>42</v>
      </c>
      <c r="C62" s="124"/>
      <c r="D62" s="119"/>
      <c r="E62" s="120"/>
      <c r="F62" s="390"/>
      <c r="G62" s="391"/>
      <c r="H62" s="392"/>
      <c r="I62" s="119"/>
      <c r="J62" s="121"/>
      <c r="K62" s="122"/>
    </row>
    <row r="63" spans="2:11">
      <c r="B63" s="117">
        <v>43</v>
      </c>
      <c r="C63" s="124"/>
      <c r="D63" s="119"/>
      <c r="E63" s="120"/>
      <c r="F63" s="390"/>
      <c r="G63" s="391"/>
      <c r="H63" s="392"/>
      <c r="I63" s="119"/>
      <c r="J63" s="121"/>
      <c r="K63" s="122"/>
    </row>
    <row r="64" spans="2:11">
      <c r="B64" s="117">
        <v>44</v>
      </c>
      <c r="C64" s="124"/>
      <c r="D64" s="119"/>
      <c r="E64" s="120"/>
      <c r="F64" s="390"/>
      <c r="G64" s="391"/>
      <c r="H64" s="392"/>
      <c r="I64" s="119"/>
      <c r="J64" s="121"/>
      <c r="K64" s="122"/>
    </row>
    <row r="65" spans="2:11">
      <c r="B65" s="117">
        <v>45</v>
      </c>
      <c r="C65" s="124"/>
      <c r="D65" s="119"/>
      <c r="E65" s="120"/>
      <c r="F65" s="390"/>
      <c r="G65" s="391"/>
      <c r="H65" s="392"/>
      <c r="I65" s="119"/>
      <c r="J65" s="121"/>
      <c r="K65" s="122"/>
    </row>
    <row r="66" spans="2:11">
      <c r="B66" s="117">
        <v>46</v>
      </c>
      <c r="C66" s="124"/>
      <c r="D66" s="119"/>
      <c r="E66" s="120"/>
      <c r="F66" s="390"/>
      <c r="G66" s="391"/>
      <c r="H66" s="392"/>
      <c r="I66" s="119"/>
      <c r="J66" s="121"/>
      <c r="K66" s="122"/>
    </row>
    <row r="67" spans="2:11">
      <c r="B67" s="117">
        <v>47</v>
      </c>
      <c r="C67" s="124"/>
      <c r="D67" s="119"/>
      <c r="E67" s="120"/>
      <c r="F67" s="390"/>
      <c r="G67" s="391"/>
      <c r="H67" s="392"/>
      <c r="I67" s="119"/>
      <c r="J67" s="121"/>
      <c r="K67" s="122"/>
    </row>
    <row r="68" spans="2:11">
      <c r="B68" s="117">
        <v>48</v>
      </c>
      <c r="C68" s="124"/>
      <c r="D68" s="119"/>
      <c r="E68" s="120"/>
      <c r="F68" s="390"/>
      <c r="G68" s="391"/>
      <c r="H68" s="392"/>
      <c r="I68" s="119"/>
      <c r="J68" s="121"/>
      <c r="K68" s="122"/>
    </row>
    <row r="69" spans="2:11">
      <c r="B69" s="117">
        <v>49</v>
      </c>
      <c r="C69" s="124"/>
      <c r="D69" s="119"/>
      <c r="E69" s="120"/>
      <c r="F69" s="390"/>
      <c r="G69" s="391"/>
      <c r="H69" s="392"/>
      <c r="I69" s="119"/>
      <c r="J69" s="121"/>
      <c r="K69" s="122"/>
    </row>
    <row r="70" spans="2:11">
      <c r="B70" s="117">
        <v>50</v>
      </c>
      <c r="C70" s="124"/>
      <c r="D70" s="119"/>
      <c r="E70" s="120"/>
      <c r="F70" s="390"/>
      <c r="G70" s="391"/>
      <c r="H70" s="392"/>
      <c r="I70" s="119"/>
      <c r="J70" s="121"/>
      <c r="K70" s="122"/>
    </row>
    <row r="71" spans="2:11">
      <c r="B71" s="117">
        <v>51</v>
      </c>
      <c r="C71" s="124"/>
      <c r="D71" s="119"/>
      <c r="E71" s="120"/>
      <c r="F71" s="390"/>
      <c r="G71" s="391"/>
      <c r="H71" s="392"/>
      <c r="I71" s="119"/>
      <c r="J71" s="121"/>
      <c r="K71" s="122"/>
    </row>
    <row r="72" spans="2:11">
      <c r="B72" s="117">
        <v>52</v>
      </c>
      <c r="C72" s="124"/>
      <c r="D72" s="119"/>
      <c r="E72" s="120"/>
      <c r="F72" s="390"/>
      <c r="G72" s="391"/>
      <c r="H72" s="392"/>
      <c r="I72" s="119"/>
      <c r="J72" s="121"/>
      <c r="K72" s="122"/>
    </row>
    <row r="73" spans="2:11">
      <c r="B73" s="117">
        <v>53</v>
      </c>
      <c r="C73" s="124"/>
      <c r="D73" s="119"/>
      <c r="E73" s="120"/>
      <c r="F73" s="390"/>
      <c r="G73" s="391"/>
      <c r="H73" s="392"/>
      <c r="I73" s="119"/>
      <c r="J73" s="121"/>
      <c r="K73" s="122"/>
    </row>
    <row r="74" spans="2:11">
      <c r="B74" s="117">
        <v>54</v>
      </c>
      <c r="C74" s="124"/>
      <c r="D74" s="119"/>
      <c r="E74" s="120"/>
      <c r="F74" s="390"/>
      <c r="G74" s="391"/>
      <c r="H74" s="392"/>
      <c r="I74" s="119"/>
      <c r="J74" s="121"/>
      <c r="K74" s="122"/>
    </row>
    <row r="75" spans="2:11">
      <c r="B75" s="117">
        <v>55</v>
      </c>
      <c r="C75" s="124"/>
      <c r="D75" s="119"/>
      <c r="E75" s="120"/>
      <c r="F75" s="390"/>
      <c r="G75" s="391"/>
      <c r="H75" s="392"/>
      <c r="I75" s="119"/>
      <c r="J75" s="121"/>
      <c r="K75" s="122"/>
    </row>
    <row r="76" spans="2:11">
      <c r="B76" s="117">
        <v>56</v>
      </c>
      <c r="C76" s="124"/>
      <c r="D76" s="119"/>
      <c r="E76" s="120"/>
      <c r="F76" s="390"/>
      <c r="G76" s="391"/>
      <c r="H76" s="392"/>
      <c r="I76" s="119"/>
      <c r="J76" s="121"/>
      <c r="K76" s="122"/>
    </row>
    <row r="77" spans="2:11">
      <c r="B77" s="117">
        <v>57</v>
      </c>
      <c r="C77" s="124"/>
      <c r="D77" s="119"/>
      <c r="E77" s="120"/>
      <c r="F77" s="390"/>
      <c r="G77" s="391"/>
      <c r="H77" s="392"/>
      <c r="I77" s="119"/>
      <c r="J77" s="121"/>
      <c r="K77" s="122"/>
    </row>
    <row r="78" spans="2:11">
      <c r="B78" s="117">
        <v>58</v>
      </c>
      <c r="C78" s="124"/>
      <c r="D78" s="119"/>
      <c r="E78" s="120"/>
      <c r="F78" s="390"/>
      <c r="G78" s="391"/>
      <c r="H78" s="392"/>
      <c r="I78" s="119"/>
      <c r="J78" s="121"/>
      <c r="K78" s="122"/>
    </row>
    <row r="79" spans="2:11">
      <c r="B79" s="117">
        <v>59</v>
      </c>
      <c r="C79" s="124"/>
      <c r="D79" s="119"/>
      <c r="E79" s="120"/>
      <c r="F79" s="390"/>
      <c r="G79" s="391"/>
      <c r="H79" s="392"/>
      <c r="I79" s="119"/>
      <c r="J79" s="121"/>
      <c r="K79" s="122"/>
    </row>
    <row r="80" spans="2:11">
      <c r="B80" s="117">
        <v>60</v>
      </c>
      <c r="C80" s="124"/>
      <c r="D80" s="119"/>
      <c r="E80" s="120"/>
      <c r="F80" s="390"/>
      <c r="G80" s="391"/>
      <c r="H80" s="392"/>
      <c r="I80" s="119"/>
      <c r="J80" s="121"/>
      <c r="K80" s="122"/>
    </row>
    <row r="81" spans="2:11">
      <c r="B81" s="117">
        <v>61</v>
      </c>
      <c r="C81" s="124"/>
      <c r="D81" s="119"/>
      <c r="E81" s="120"/>
      <c r="F81" s="390"/>
      <c r="G81" s="391"/>
      <c r="H81" s="392"/>
      <c r="I81" s="119"/>
      <c r="J81" s="121"/>
      <c r="K81" s="122"/>
    </row>
    <row r="82" spans="2:11">
      <c r="B82" s="117">
        <v>62</v>
      </c>
      <c r="C82" s="124"/>
      <c r="D82" s="119"/>
      <c r="E82" s="120"/>
      <c r="F82" s="390"/>
      <c r="G82" s="391"/>
      <c r="H82" s="392"/>
      <c r="I82" s="119"/>
      <c r="J82" s="121"/>
      <c r="K82" s="122"/>
    </row>
    <row r="83" spans="2:11">
      <c r="B83" s="117">
        <v>63</v>
      </c>
      <c r="C83" s="124"/>
      <c r="D83" s="119"/>
      <c r="E83" s="120"/>
      <c r="F83" s="390"/>
      <c r="G83" s="391"/>
      <c r="H83" s="392"/>
      <c r="I83" s="119"/>
      <c r="J83" s="121"/>
      <c r="K83" s="122"/>
    </row>
    <row r="84" spans="2:11">
      <c r="B84" s="117">
        <v>64</v>
      </c>
      <c r="C84" s="124"/>
      <c r="D84" s="119"/>
      <c r="E84" s="120"/>
      <c r="F84" s="390"/>
      <c r="G84" s="391"/>
      <c r="H84" s="392"/>
      <c r="I84" s="119"/>
      <c r="J84" s="121"/>
      <c r="K84" s="122"/>
    </row>
    <row r="85" spans="2:11">
      <c r="B85" s="117">
        <v>65</v>
      </c>
      <c r="C85" s="124"/>
      <c r="D85" s="119"/>
      <c r="E85" s="120"/>
      <c r="F85" s="390"/>
      <c r="G85" s="391"/>
      <c r="H85" s="392"/>
      <c r="I85" s="119"/>
      <c r="J85" s="121"/>
      <c r="K85" s="122"/>
    </row>
    <row r="86" spans="2:11">
      <c r="B86" s="117">
        <v>66</v>
      </c>
      <c r="C86" s="124"/>
      <c r="D86" s="119"/>
      <c r="E86" s="120"/>
      <c r="F86" s="390"/>
      <c r="G86" s="391"/>
      <c r="H86" s="392"/>
      <c r="I86" s="119"/>
      <c r="J86" s="121"/>
      <c r="K86" s="122"/>
    </row>
    <row r="87" spans="2:11">
      <c r="B87" s="117">
        <v>67</v>
      </c>
      <c r="C87" s="124"/>
      <c r="D87" s="119"/>
      <c r="E87" s="120"/>
      <c r="F87" s="390"/>
      <c r="G87" s="391"/>
      <c r="H87" s="392"/>
      <c r="I87" s="119"/>
      <c r="J87" s="121"/>
      <c r="K87" s="122"/>
    </row>
    <row r="88" spans="2:11">
      <c r="B88" s="117">
        <v>68</v>
      </c>
      <c r="C88" s="124"/>
      <c r="D88" s="119"/>
      <c r="E88" s="120"/>
      <c r="F88" s="390"/>
      <c r="G88" s="391"/>
      <c r="H88" s="392"/>
      <c r="I88" s="119"/>
      <c r="J88" s="121"/>
      <c r="K88" s="122"/>
    </row>
    <row r="89" spans="2:11">
      <c r="B89" s="117">
        <v>69</v>
      </c>
      <c r="C89" s="124"/>
      <c r="D89" s="119"/>
      <c r="E89" s="120"/>
      <c r="F89" s="390"/>
      <c r="G89" s="391"/>
      <c r="H89" s="392"/>
      <c r="I89" s="119"/>
      <c r="J89" s="121"/>
      <c r="K89" s="122"/>
    </row>
    <row r="90" spans="2:11">
      <c r="B90" s="117">
        <v>70</v>
      </c>
      <c r="C90" s="124"/>
      <c r="D90" s="119"/>
      <c r="E90" s="120"/>
      <c r="F90" s="390"/>
      <c r="G90" s="391"/>
      <c r="H90" s="392"/>
      <c r="I90" s="119"/>
      <c r="J90" s="121"/>
      <c r="K90" s="122"/>
    </row>
    <row r="91" spans="2:11">
      <c r="B91" s="117">
        <v>71</v>
      </c>
      <c r="C91" s="124"/>
      <c r="D91" s="119"/>
      <c r="E91" s="120"/>
      <c r="F91" s="390"/>
      <c r="G91" s="391"/>
      <c r="H91" s="392"/>
      <c r="I91" s="119"/>
      <c r="J91" s="121"/>
      <c r="K91" s="122"/>
    </row>
    <row r="92" spans="2:11">
      <c r="B92" s="117">
        <v>72</v>
      </c>
      <c r="C92" s="124"/>
      <c r="D92" s="119"/>
      <c r="E92" s="120"/>
      <c r="F92" s="390"/>
      <c r="G92" s="391"/>
      <c r="H92" s="392"/>
      <c r="I92" s="119"/>
      <c r="J92" s="121"/>
      <c r="K92" s="122"/>
    </row>
    <row r="93" spans="2:11">
      <c r="B93" s="117">
        <v>73</v>
      </c>
      <c r="C93" s="124"/>
      <c r="D93" s="119"/>
      <c r="E93" s="120"/>
      <c r="F93" s="390"/>
      <c r="G93" s="391"/>
      <c r="H93" s="392"/>
      <c r="I93" s="119"/>
      <c r="J93" s="121"/>
      <c r="K93" s="122"/>
    </row>
    <row r="94" spans="2:11">
      <c r="B94" s="117">
        <v>74</v>
      </c>
      <c r="C94" s="124"/>
      <c r="D94" s="119"/>
      <c r="E94" s="120"/>
      <c r="F94" s="390"/>
      <c r="G94" s="391"/>
      <c r="H94" s="392"/>
      <c r="I94" s="119"/>
      <c r="J94" s="121"/>
      <c r="K94" s="122"/>
    </row>
    <row r="95" spans="2:11">
      <c r="B95" s="117">
        <v>75</v>
      </c>
      <c r="C95" s="124"/>
      <c r="D95" s="119"/>
      <c r="E95" s="120"/>
      <c r="F95" s="390"/>
      <c r="G95" s="391"/>
      <c r="H95" s="392"/>
      <c r="I95" s="119"/>
      <c r="J95" s="121"/>
      <c r="K95" s="122"/>
    </row>
    <row r="96" spans="2:11">
      <c r="B96" s="117">
        <v>76</v>
      </c>
      <c r="C96" s="124"/>
      <c r="D96" s="119"/>
      <c r="E96" s="120"/>
      <c r="F96" s="390"/>
      <c r="G96" s="391"/>
      <c r="H96" s="392"/>
      <c r="I96" s="119"/>
      <c r="J96" s="121"/>
      <c r="K96" s="122"/>
    </row>
    <row r="97" spans="2:11">
      <c r="B97" s="117">
        <v>77</v>
      </c>
      <c r="C97" s="124"/>
      <c r="D97" s="119"/>
      <c r="E97" s="120"/>
      <c r="F97" s="390"/>
      <c r="G97" s="391"/>
      <c r="H97" s="392"/>
      <c r="I97" s="119"/>
      <c r="J97" s="121"/>
      <c r="K97" s="122"/>
    </row>
    <row r="98" spans="2:11">
      <c r="B98" s="117">
        <v>78</v>
      </c>
      <c r="C98" s="124"/>
      <c r="D98" s="119"/>
      <c r="E98" s="120"/>
      <c r="F98" s="390"/>
      <c r="G98" s="391"/>
      <c r="H98" s="392"/>
      <c r="I98" s="119"/>
      <c r="J98" s="121"/>
      <c r="K98" s="122"/>
    </row>
    <row r="99" spans="2:11">
      <c r="B99" s="117">
        <v>79</v>
      </c>
      <c r="C99" s="124"/>
      <c r="D99" s="119"/>
      <c r="E99" s="120"/>
      <c r="F99" s="390"/>
      <c r="G99" s="391"/>
      <c r="H99" s="392"/>
      <c r="I99" s="119"/>
      <c r="J99" s="121"/>
      <c r="K99" s="122"/>
    </row>
    <row r="100" spans="2:11">
      <c r="B100" s="117">
        <v>80</v>
      </c>
      <c r="C100" s="124"/>
      <c r="D100" s="119"/>
      <c r="E100" s="120"/>
      <c r="F100" s="390"/>
      <c r="G100" s="391"/>
      <c r="H100" s="392"/>
      <c r="I100" s="119"/>
      <c r="J100" s="121"/>
      <c r="K100" s="122"/>
    </row>
    <row r="101" spans="2:11">
      <c r="B101" s="117">
        <v>81</v>
      </c>
      <c r="C101" s="124"/>
      <c r="D101" s="119"/>
      <c r="E101" s="120"/>
      <c r="F101" s="390"/>
      <c r="G101" s="391"/>
      <c r="H101" s="392"/>
      <c r="I101" s="119"/>
      <c r="J101" s="121"/>
      <c r="K101" s="122"/>
    </row>
    <row r="102" spans="2:11">
      <c r="B102" s="117">
        <v>82</v>
      </c>
      <c r="C102" s="124"/>
      <c r="D102" s="119"/>
      <c r="E102" s="120"/>
      <c r="F102" s="390"/>
      <c r="G102" s="391"/>
      <c r="H102" s="392"/>
      <c r="I102" s="119"/>
      <c r="J102" s="121"/>
      <c r="K102" s="122"/>
    </row>
    <row r="103" spans="2:11">
      <c r="B103" s="117">
        <v>83</v>
      </c>
      <c r="C103" s="124"/>
      <c r="D103" s="119"/>
      <c r="E103" s="120"/>
      <c r="F103" s="390"/>
      <c r="G103" s="391"/>
      <c r="H103" s="392"/>
      <c r="I103" s="119"/>
      <c r="J103" s="121"/>
      <c r="K103" s="122"/>
    </row>
    <row r="104" spans="2:11">
      <c r="B104" s="117">
        <v>84</v>
      </c>
      <c r="C104" s="124"/>
      <c r="D104" s="119"/>
      <c r="E104" s="120"/>
      <c r="F104" s="390"/>
      <c r="G104" s="391"/>
      <c r="H104" s="392"/>
      <c r="I104" s="119"/>
      <c r="J104" s="121"/>
      <c r="K104" s="122"/>
    </row>
    <row r="105" spans="2:11">
      <c r="B105" s="117">
        <v>85</v>
      </c>
      <c r="C105" s="124"/>
      <c r="D105" s="119"/>
      <c r="E105" s="120"/>
      <c r="F105" s="390"/>
      <c r="G105" s="391"/>
      <c r="H105" s="392"/>
      <c r="I105" s="119"/>
      <c r="J105" s="121"/>
      <c r="K105" s="122"/>
    </row>
    <row r="106" spans="2:11">
      <c r="B106" s="117">
        <v>86</v>
      </c>
      <c r="C106" s="124"/>
      <c r="D106" s="119"/>
      <c r="E106" s="120"/>
      <c r="F106" s="390"/>
      <c r="G106" s="391"/>
      <c r="H106" s="392"/>
      <c r="I106" s="119"/>
      <c r="J106" s="121"/>
      <c r="K106" s="122"/>
    </row>
    <row r="107" spans="2:11">
      <c r="B107" s="117">
        <v>87</v>
      </c>
      <c r="C107" s="124"/>
      <c r="D107" s="119"/>
      <c r="E107" s="120"/>
      <c r="F107" s="390"/>
      <c r="G107" s="391"/>
      <c r="H107" s="392"/>
      <c r="I107" s="119"/>
      <c r="J107" s="121"/>
      <c r="K107" s="122"/>
    </row>
    <row r="108" spans="2:11">
      <c r="B108" s="117">
        <v>88</v>
      </c>
      <c r="C108" s="124"/>
      <c r="D108" s="119"/>
      <c r="E108" s="120"/>
      <c r="F108" s="390"/>
      <c r="G108" s="391"/>
      <c r="H108" s="392"/>
      <c r="I108" s="119"/>
      <c r="J108" s="121"/>
      <c r="K108" s="122"/>
    </row>
    <row r="109" spans="2:11">
      <c r="B109" s="117">
        <v>89</v>
      </c>
      <c r="C109" s="124"/>
      <c r="D109" s="119"/>
      <c r="E109" s="120"/>
      <c r="F109" s="390"/>
      <c r="G109" s="391"/>
      <c r="H109" s="392"/>
      <c r="I109" s="119"/>
      <c r="J109" s="121"/>
      <c r="K109" s="122"/>
    </row>
    <row r="110" spans="2:11">
      <c r="B110" s="117">
        <v>90</v>
      </c>
      <c r="C110" s="124"/>
      <c r="D110" s="119"/>
      <c r="E110" s="120"/>
      <c r="F110" s="390"/>
      <c r="G110" s="391"/>
      <c r="H110" s="392"/>
      <c r="I110" s="119"/>
      <c r="J110" s="121"/>
      <c r="K110" s="122"/>
    </row>
    <row r="111" spans="2:11">
      <c r="B111" s="117">
        <v>91</v>
      </c>
      <c r="C111" s="124"/>
      <c r="D111" s="119"/>
      <c r="E111" s="120"/>
      <c r="F111" s="390"/>
      <c r="G111" s="391"/>
      <c r="H111" s="392"/>
      <c r="I111" s="119"/>
      <c r="J111" s="121"/>
      <c r="K111" s="122"/>
    </row>
    <row r="112" spans="2:11">
      <c r="B112" s="117">
        <v>92</v>
      </c>
      <c r="C112" s="124"/>
      <c r="D112" s="119"/>
      <c r="E112" s="120"/>
      <c r="F112" s="390"/>
      <c r="G112" s="391"/>
      <c r="H112" s="392"/>
      <c r="I112" s="119"/>
      <c r="J112" s="121"/>
      <c r="K112" s="122"/>
    </row>
    <row r="113" spans="2:11">
      <c r="B113" s="117">
        <v>93</v>
      </c>
      <c r="C113" s="124"/>
      <c r="D113" s="119"/>
      <c r="E113" s="120"/>
      <c r="F113" s="390"/>
      <c r="G113" s="391"/>
      <c r="H113" s="392"/>
      <c r="I113" s="119"/>
      <c r="J113" s="121"/>
      <c r="K113" s="122"/>
    </row>
    <row r="114" spans="2:11">
      <c r="B114" s="117">
        <v>94</v>
      </c>
      <c r="C114" s="124"/>
      <c r="D114" s="119"/>
      <c r="E114" s="120"/>
      <c r="F114" s="390"/>
      <c r="G114" s="391"/>
      <c r="H114" s="392"/>
      <c r="I114" s="119"/>
      <c r="J114" s="121"/>
      <c r="K114" s="122"/>
    </row>
    <row r="115" spans="2:11">
      <c r="B115" s="117">
        <v>95</v>
      </c>
      <c r="C115" s="124"/>
      <c r="D115" s="119"/>
      <c r="E115" s="120"/>
      <c r="F115" s="390"/>
      <c r="G115" s="391"/>
      <c r="H115" s="392"/>
      <c r="I115" s="119"/>
      <c r="J115" s="121"/>
      <c r="K115" s="122"/>
    </row>
    <row r="116" spans="2:11">
      <c r="B116" s="117">
        <v>96</v>
      </c>
      <c r="C116" s="124"/>
      <c r="D116" s="119"/>
      <c r="E116" s="120"/>
      <c r="F116" s="390"/>
      <c r="G116" s="391"/>
      <c r="H116" s="392"/>
      <c r="I116" s="119"/>
      <c r="J116" s="121"/>
      <c r="K116" s="122"/>
    </row>
    <row r="117" spans="2:11">
      <c r="B117" s="117">
        <v>97</v>
      </c>
      <c r="C117" s="124"/>
      <c r="D117" s="119"/>
      <c r="E117" s="120"/>
      <c r="F117" s="390"/>
      <c r="G117" s="391"/>
      <c r="H117" s="392"/>
      <c r="I117" s="119"/>
      <c r="J117" s="121"/>
      <c r="K117" s="122"/>
    </row>
    <row r="118" spans="2:11">
      <c r="B118" s="117">
        <v>98</v>
      </c>
      <c r="C118" s="124"/>
      <c r="D118" s="119"/>
      <c r="E118" s="120"/>
      <c r="F118" s="390"/>
      <c r="G118" s="391"/>
      <c r="H118" s="392"/>
      <c r="I118" s="119"/>
      <c r="J118" s="121"/>
      <c r="K118" s="122"/>
    </row>
    <row r="119" spans="2:11">
      <c r="B119" s="117">
        <v>99</v>
      </c>
      <c r="C119" s="124"/>
      <c r="D119" s="119"/>
      <c r="E119" s="120"/>
      <c r="F119" s="390"/>
      <c r="G119" s="391"/>
      <c r="H119" s="392"/>
      <c r="I119" s="119"/>
      <c r="J119" s="121"/>
      <c r="K119" s="122"/>
    </row>
    <row r="120" spans="2:11">
      <c r="B120" s="117">
        <v>100</v>
      </c>
      <c r="C120" s="124"/>
      <c r="D120" s="119"/>
      <c r="E120" s="120"/>
      <c r="F120" s="390"/>
      <c r="G120" s="391"/>
      <c r="H120" s="392"/>
      <c r="I120" s="119"/>
      <c r="J120" s="121"/>
      <c r="K120" s="122"/>
    </row>
    <row r="121" spans="2:11">
      <c r="B121" s="117">
        <v>101</v>
      </c>
      <c r="C121" s="124"/>
      <c r="D121" s="119"/>
      <c r="E121" s="120"/>
      <c r="F121" s="390"/>
      <c r="G121" s="391"/>
      <c r="H121" s="392"/>
      <c r="I121" s="119"/>
      <c r="J121" s="121"/>
      <c r="K121" s="122"/>
    </row>
    <row r="122" spans="2:11">
      <c r="B122" s="117">
        <v>102</v>
      </c>
      <c r="C122" s="124"/>
      <c r="D122" s="119"/>
      <c r="E122" s="120"/>
      <c r="F122" s="390"/>
      <c r="G122" s="391"/>
      <c r="H122" s="392"/>
      <c r="I122" s="119"/>
      <c r="J122" s="121"/>
      <c r="K122" s="122"/>
    </row>
    <row r="123" spans="2:11">
      <c r="B123" s="117">
        <v>103</v>
      </c>
      <c r="C123" s="124"/>
      <c r="D123" s="119"/>
      <c r="E123" s="120"/>
      <c r="F123" s="390"/>
      <c r="G123" s="391"/>
      <c r="H123" s="392"/>
      <c r="I123" s="119"/>
      <c r="J123" s="121"/>
      <c r="K123" s="122"/>
    </row>
    <row r="124" spans="2:11">
      <c r="B124" s="117">
        <v>104</v>
      </c>
      <c r="C124" s="124"/>
      <c r="D124" s="119"/>
      <c r="E124" s="120"/>
      <c r="F124" s="390"/>
      <c r="G124" s="391"/>
      <c r="H124" s="392"/>
      <c r="I124" s="119"/>
      <c r="J124" s="121"/>
      <c r="K124" s="122"/>
    </row>
    <row r="125" spans="2:11">
      <c r="B125" s="117">
        <v>105</v>
      </c>
      <c r="C125" s="124"/>
      <c r="D125" s="119"/>
      <c r="E125" s="120"/>
      <c r="F125" s="390"/>
      <c r="G125" s="391"/>
      <c r="H125" s="392"/>
      <c r="I125" s="119"/>
      <c r="J125" s="121"/>
      <c r="K125" s="122"/>
    </row>
    <row r="126" spans="2:11">
      <c r="B126" s="117">
        <v>106</v>
      </c>
      <c r="C126" s="124"/>
      <c r="D126" s="119"/>
      <c r="E126" s="120"/>
      <c r="F126" s="390"/>
      <c r="G126" s="391"/>
      <c r="H126" s="392"/>
      <c r="I126" s="119"/>
      <c r="J126" s="121"/>
      <c r="K126" s="122"/>
    </row>
    <row r="127" spans="2:11">
      <c r="B127" s="117">
        <v>107</v>
      </c>
      <c r="C127" s="124"/>
      <c r="D127" s="119"/>
      <c r="E127" s="120"/>
      <c r="F127" s="390"/>
      <c r="G127" s="391"/>
      <c r="H127" s="392"/>
      <c r="I127" s="119"/>
      <c r="J127" s="121"/>
      <c r="K127" s="122"/>
    </row>
    <row r="128" spans="2:11">
      <c r="B128" s="117">
        <v>108</v>
      </c>
      <c r="C128" s="124"/>
      <c r="D128" s="119"/>
      <c r="E128" s="120"/>
      <c r="F128" s="390"/>
      <c r="G128" s="391"/>
      <c r="H128" s="392"/>
      <c r="I128" s="119"/>
      <c r="J128" s="121"/>
      <c r="K128" s="122"/>
    </row>
    <row r="129" spans="2:11">
      <c r="B129" s="117">
        <v>109</v>
      </c>
      <c r="C129" s="124"/>
      <c r="D129" s="119"/>
      <c r="E129" s="120"/>
      <c r="F129" s="390"/>
      <c r="G129" s="391"/>
      <c r="H129" s="392"/>
      <c r="I129" s="119"/>
      <c r="J129" s="121"/>
      <c r="K129" s="122"/>
    </row>
    <row r="130" spans="2:11">
      <c r="B130" s="117">
        <v>110</v>
      </c>
      <c r="C130" s="124"/>
      <c r="D130" s="119"/>
      <c r="E130" s="120"/>
      <c r="F130" s="390"/>
      <c r="G130" s="391"/>
      <c r="H130" s="392"/>
      <c r="I130" s="119"/>
      <c r="J130" s="121"/>
      <c r="K130" s="122"/>
    </row>
    <row r="131" spans="2:11">
      <c r="B131" s="117">
        <v>111</v>
      </c>
      <c r="C131" s="124"/>
      <c r="D131" s="119"/>
      <c r="E131" s="120"/>
      <c r="F131" s="390"/>
      <c r="G131" s="391"/>
      <c r="H131" s="392"/>
      <c r="I131" s="119"/>
      <c r="J131" s="121"/>
      <c r="K131" s="122"/>
    </row>
    <row r="132" spans="2:11">
      <c r="B132" s="117">
        <v>112</v>
      </c>
      <c r="C132" s="124"/>
      <c r="D132" s="119"/>
      <c r="E132" s="120"/>
      <c r="F132" s="390"/>
      <c r="G132" s="391"/>
      <c r="H132" s="392"/>
      <c r="I132" s="119"/>
      <c r="J132" s="121"/>
      <c r="K132" s="122"/>
    </row>
    <row r="133" spans="2:11">
      <c r="B133" s="117">
        <v>113</v>
      </c>
      <c r="C133" s="124"/>
      <c r="D133" s="119"/>
      <c r="E133" s="120"/>
      <c r="F133" s="390"/>
      <c r="G133" s="391"/>
      <c r="H133" s="392"/>
      <c r="I133" s="119"/>
      <c r="J133" s="121"/>
      <c r="K133" s="122"/>
    </row>
    <row r="134" spans="2:11">
      <c r="B134" s="117">
        <v>114</v>
      </c>
      <c r="C134" s="124"/>
      <c r="D134" s="119"/>
      <c r="E134" s="120"/>
      <c r="F134" s="390"/>
      <c r="G134" s="391"/>
      <c r="H134" s="392"/>
      <c r="I134" s="119"/>
      <c r="J134" s="121"/>
      <c r="K134" s="122"/>
    </row>
    <row r="135" spans="2:11">
      <c r="B135" s="117">
        <v>115</v>
      </c>
      <c r="C135" s="124"/>
      <c r="D135" s="119"/>
      <c r="E135" s="120"/>
      <c r="F135" s="390"/>
      <c r="G135" s="391"/>
      <c r="H135" s="392"/>
      <c r="I135" s="119"/>
      <c r="J135" s="121"/>
      <c r="K135" s="122"/>
    </row>
    <row r="136" spans="2:11">
      <c r="B136" s="117">
        <v>116</v>
      </c>
      <c r="C136" s="124"/>
      <c r="D136" s="119"/>
      <c r="E136" s="120"/>
      <c r="F136" s="390"/>
      <c r="G136" s="391"/>
      <c r="H136" s="392"/>
      <c r="I136" s="119"/>
      <c r="J136" s="121"/>
      <c r="K136" s="122"/>
    </row>
    <row r="137" spans="2:11">
      <c r="B137" s="117">
        <v>117</v>
      </c>
      <c r="C137" s="124"/>
      <c r="D137" s="119"/>
      <c r="E137" s="120"/>
      <c r="F137" s="390"/>
      <c r="G137" s="391"/>
      <c r="H137" s="392"/>
      <c r="I137" s="119"/>
      <c r="J137" s="121"/>
      <c r="K137" s="122"/>
    </row>
    <row r="138" spans="2:11">
      <c r="B138" s="117">
        <v>118</v>
      </c>
      <c r="C138" s="124"/>
      <c r="D138" s="119"/>
      <c r="E138" s="120"/>
      <c r="F138" s="390"/>
      <c r="G138" s="391"/>
      <c r="H138" s="392"/>
      <c r="I138" s="119"/>
      <c r="J138" s="121"/>
      <c r="K138" s="122"/>
    </row>
    <row r="139" spans="2:11">
      <c r="B139" s="117">
        <v>119</v>
      </c>
      <c r="C139" s="124"/>
      <c r="D139" s="119"/>
      <c r="E139" s="120"/>
      <c r="F139" s="390"/>
      <c r="G139" s="391"/>
      <c r="H139" s="392"/>
      <c r="I139" s="119"/>
      <c r="J139" s="121"/>
      <c r="K139" s="122"/>
    </row>
    <row r="140" spans="2:11">
      <c r="B140" s="117">
        <v>120</v>
      </c>
      <c r="C140" s="124"/>
      <c r="D140" s="119"/>
      <c r="E140" s="120"/>
      <c r="F140" s="390"/>
      <c r="G140" s="391"/>
      <c r="H140" s="392"/>
      <c r="I140" s="119"/>
      <c r="J140" s="121"/>
      <c r="K140" s="122"/>
    </row>
    <row r="141" spans="2:11">
      <c r="B141" s="117">
        <v>121</v>
      </c>
      <c r="C141" s="124"/>
      <c r="D141" s="119"/>
      <c r="E141" s="120"/>
      <c r="F141" s="390"/>
      <c r="G141" s="391"/>
      <c r="H141" s="392"/>
      <c r="I141" s="119"/>
      <c r="J141" s="121"/>
      <c r="K141" s="122"/>
    </row>
    <row r="142" spans="2:11">
      <c r="B142" s="117">
        <v>122</v>
      </c>
      <c r="C142" s="124"/>
      <c r="D142" s="119"/>
      <c r="E142" s="120"/>
      <c r="F142" s="390"/>
      <c r="G142" s="391"/>
      <c r="H142" s="392"/>
      <c r="I142" s="119"/>
      <c r="J142" s="121"/>
      <c r="K142" s="122"/>
    </row>
    <row r="143" spans="2:11">
      <c r="B143" s="117">
        <v>123</v>
      </c>
      <c r="C143" s="124"/>
      <c r="D143" s="119"/>
      <c r="E143" s="120"/>
      <c r="F143" s="390"/>
      <c r="G143" s="391"/>
      <c r="H143" s="392"/>
      <c r="I143" s="119"/>
      <c r="J143" s="121"/>
      <c r="K143" s="122"/>
    </row>
    <row r="144" spans="2:11">
      <c r="B144" s="117">
        <v>124</v>
      </c>
      <c r="C144" s="124"/>
      <c r="D144" s="119"/>
      <c r="E144" s="120"/>
      <c r="F144" s="390"/>
      <c r="G144" s="391"/>
      <c r="H144" s="392"/>
      <c r="I144" s="119"/>
      <c r="J144" s="121"/>
      <c r="K144" s="122"/>
    </row>
    <row r="145" spans="2:11">
      <c r="B145" s="117">
        <v>125</v>
      </c>
      <c r="C145" s="124"/>
      <c r="D145" s="119"/>
      <c r="E145" s="120"/>
      <c r="F145" s="390"/>
      <c r="G145" s="391"/>
      <c r="H145" s="392"/>
      <c r="I145" s="119"/>
      <c r="J145" s="121"/>
      <c r="K145" s="122"/>
    </row>
    <row r="146" spans="2:11">
      <c r="B146" s="117">
        <v>126</v>
      </c>
      <c r="C146" s="124"/>
      <c r="D146" s="119"/>
      <c r="E146" s="120"/>
      <c r="F146" s="390"/>
      <c r="G146" s="391"/>
      <c r="H146" s="392"/>
      <c r="I146" s="119"/>
      <c r="J146" s="121"/>
      <c r="K146" s="122"/>
    </row>
    <row r="147" spans="2:11">
      <c r="B147" s="117">
        <v>127</v>
      </c>
      <c r="C147" s="124"/>
      <c r="D147" s="119"/>
      <c r="E147" s="120"/>
      <c r="F147" s="390"/>
      <c r="G147" s="391"/>
      <c r="H147" s="392"/>
      <c r="I147" s="119"/>
      <c r="J147" s="121"/>
      <c r="K147" s="122"/>
    </row>
    <row r="148" spans="2:11">
      <c r="B148" s="117">
        <v>128</v>
      </c>
      <c r="C148" s="124"/>
      <c r="D148" s="119"/>
      <c r="E148" s="120"/>
      <c r="F148" s="390"/>
      <c r="G148" s="391"/>
      <c r="H148" s="392"/>
      <c r="I148" s="119"/>
      <c r="J148" s="121"/>
      <c r="K148" s="122"/>
    </row>
    <row r="149" spans="2:11">
      <c r="B149" s="117">
        <v>129</v>
      </c>
      <c r="C149" s="124"/>
      <c r="D149" s="119"/>
      <c r="E149" s="120"/>
      <c r="F149" s="390"/>
      <c r="G149" s="391"/>
      <c r="H149" s="392"/>
      <c r="I149" s="119"/>
      <c r="J149" s="121"/>
      <c r="K149" s="122"/>
    </row>
    <row r="150" spans="2:11">
      <c r="B150" s="117">
        <v>130</v>
      </c>
      <c r="C150" s="124"/>
      <c r="D150" s="119"/>
      <c r="E150" s="120"/>
      <c r="F150" s="390"/>
      <c r="G150" s="391"/>
      <c r="H150" s="392"/>
      <c r="I150" s="119"/>
      <c r="J150" s="121"/>
      <c r="K150" s="122"/>
    </row>
    <row r="151" spans="2:11">
      <c r="B151" s="117">
        <v>131</v>
      </c>
      <c r="C151" s="124"/>
      <c r="D151" s="119"/>
      <c r="E151" s="120"/>
      <c r="F151" s="390"/>
      <c r="G151" s="391"/>
      <c r="H151" s="392"/>
      <c r="I151" s="119"/>
      <c r="J151" s="121"/>
      <c r="K151" s="122"/>
    </row>
    <row r="152" spans="2:11">
      <c r="B152" s="117">
        <v>132</v>
      </c>
      <c r="C152" s="124"/>
      <c r="D152" s="119"/>
      <c r="E152" s="120"/>
      <c r="F152" s="390"/>
      <c r="G152" s="391"/>
      <c r="H152" s="392"/>
      <c r="I152" s="119"/>
      <c r="J152" s="121"/>
      <c r="K152" s="122"/>
    </row>
    <row r="153" spans="2:11">
      <c r="B153" s="117">
        <v>133</v>
      </c>
      <c r="C153" s="124"/>
      <c r="D153" s="119"/>
      <c r="E153" s="120"/>
      <c r="F153" s="390"/>
      <c r="G153" s="391"/>
      <c r="H153" s="392"/>
      <c r="I153" s="119"/>
      <c r="J153" s="121"/>
      <c r="K153" s="122"/>
    </row>
    <row r="154" spans="2:11">
      <c r="B154" s="117">
        <v>134</v>
      </c>
      <c r="C154" s="124"/>
      <c r="D154" s="119"/>
      <c r="E154" s="120"/>
      <c r="F154" s="390"/>
      <c r="G154" s="391"/>
      <c r="H154" s="392"/>
      <c r="I154" s="119"/>
      <c r="J154" s="121"/>
      <c r="K154" s="122"/>
    </row>
    <row r="155" spans="2:11">
      <c r="B155" s="117">
        <v>135</v>
      </c>
      <c r="C155" s="124"/>
      <c r="D155" s="119"/>
      <c r="E155" s="120"/>
      <c r="F155" s="390"/>
      <c r="G155" s="391"/>
      <c r="H155" s="392"/>
      <c r="I155" s="119"/>
      <c r="J155" s="121"/>
      <c r="K155" s="122"/>
    </row>
    <row r="156" spans="2:11">
      <c r="B156" s="117">
        <v>136</v>
      </c>
      <c r="C156" s="124"/>
      <c r="D156" s="119"/>
      <c r="E156" s="120"/>
      <c r="F156" s="390"/>
      <c r="G156" s="391"/>
      <c r="H156" s="392"/>
      <c r="I156" s="119"/>
      <c r="J156" s="121"/>
      <c r="K156" s="122"/>
    </row>
    <row r="157" spans="2:11">
      <c r="B157" s="117">
        <v>137</v>
      </c>
      <c r="C157" s="124"/>
      <c r="D157" s="119"/>
      <c r="E157" s="120"/>
      <c r="F157" s="390"/>
      <c r="G157" s="391"/>
      <c r="H157" s="392"/>
      <c r="I157" s="119"/>
      <c r="J157" s="121"/>
      <c r="K157" s="122"/>
    </row>
    <row r="158" spans="2:11">
      <c r="B158" s="117">
        <v>138</v>
      </c>
      <c r="C158" s="124"/>
      <c r="D158" s="119"/>
      <c r="E158" s="120"/>
      <c r="F158" s="390"/>
      <c r="G158" s="391"/>
      <c r="H158" s="392"/>
      <c r="I158" s="119"/>
      <c r="J158" s="121"/>
      <c r="K158" s="122"/>
    </row>
    <row r="159" spans="2:11">
      <c r="B159" s="117">
        <v>139</v>
      </c>
      <c r="C159" s="124"/>
      <c r="D159" s="119"/>
      <c r="E159" s="120"/>
      <c r="F159" s="390"/>
      <c r="G159" s="391"/>
      <c r="H159" s="392"/>
      <c r="I159" s="119"/>
      <c r="J159" s="121"/>
      <c r="K159" s="122"/>
    </row>
    <row r="160" spans="2:11">
      <c r="B160" s="117">
        <v>140</v>
      </c>
      <c r="C160" s="124"/>
      <c r="D160" s="119"/>
      <c r="E160" s="120"/>
      <c r="F160" s="390"/>
      <c r="G160" s="391"/>
      <c r="H160" s="392"/>
      <c r="I160" s="119"/>
      <c r="J160" s="121"/>
      <c r="K160" s="122"/>
    </row>
    <row r="161" spans="2:11">
      <c r="B161" s="117">
        <v>141</v>
      </c>
      <c r="C161" s="124"/>
      <c r="D161" s="119"/>
      <c r="E161" s="120"/>
      <c r="F161" s="390"/>
      <c r="G161" s="391"/>
      <c r="H161" s="392"/>
      <c r="I161" s="119"/>
      <c r="J161" s="121"/>
      <c r="K161" s="122"/>
    </row>
    <row r="162" spans="2:11">
      <c r="B162" s="117">
        <v>142</v>
      </c>
      <c r="C162" s="124"/>
      <c r="D162" s="119"/>
      <c r="E162" s="120"/>
      <c r="F162" s="390"/>
      <c r="G162" s="391"/>
      <c r="H162" s="392"/>
      <c r="I162" s="119"/>
      <c r="J162" s="121"/>
      <c r="K162" s="122"/>
    </row>
    <row r="163" spans="2:11">
      <c r="B163" s="117"/>
      <c r="C163" s="125"/>
      <c r="D163" s="119"/>
      <c r="E163" s="126"/>
      <c r="F163" s="390"/>
      <c r="G163" s="391"/>
      <c r="H163" s="392"/>
      <c r="I163" s="126"/>
      <c r="J163" s="127"/>
      <c r="K163" s="128"/>
    </row>
  </sheetData>
  <mergeCells count="155">
    <mergeCell ref="F156:H156"/>
    <mergeCell ref="F160:H160"/>
    <mergeCell ref="F161:H161"/>
    <mergeCell ref="F162:H162"/>
    <mergeCell ref="F163:H163"/>
    <mergeCell ref="F158:H158"/>
    <mergeCell ref="F159:H159"/>
    <mergeCell ref="N13:O13"/>
    <mergeCell ref="N14:O14"/>
    <mergeCell ref="N15:O16"/>
    <mergeCell ref="F127:H127"/>
    <mergeCell ref="F128:H128"/>
    <mergeCell ref="F129:H129"/>
    <mergeCell ref="F130:H130"/>
    <mergeCell ref="F131:H131"/>
    <mergeCell ref="F132:H132"/>
    <mergeCell ref="F121:H121"/>
    <mergeCell ref="F122:H122"/>
    <mergeCell ref="F123:H123"/>
    <mergeCell ref="F124:H124"/>
    <mergeCell ref="F125:H125"/>
    <mergeCell ref="F126:H126"/>
    <mergeCell ref="F115:H115"/>
    <mergeCell ref="F116:H116"/>
    <mergeCell ref="N12:P12"/>
    <mergeCell ref="F151:H151"/>
    <mergeCell ref="F152:H152"/>
    <mergeCell ref="F153:H153"/>
    <mergeCell ref="F154:H154"/>
    <mergeCell ref="F155:H155"/>
    <mergeCell ref="F145:H145"/>
    <mergeCell ref="F146:H146"/>
    <mergeCell ref="F147:H147"/>
    <mergeCell ref="F148:H148"/>
    <mergeCell ref="F149:H149"/>
    <mergeCell ref="F150:H150"/>
    <mergeCell ref="F139:H139"/>
    <mergeCell ref="F140:H140"/>
    <mergeCell ref="F141:H141"/>
    <mergeCell ref="F142:H142"/>
    <mergeCell ref="F143:H143"/>
    <mergeCell ref="F144:H144"/>
    <mergeCell ref="F133:H133"/>
    <mergeCell ref="F134:H134"/>
    <mergeCell ref="F135:H135"/>
    <mergeCell ref="F136:H136"/>
    <mergeCell ref="F137:H137"/>
    <mergeCell ref="F138:H138"/>
    <mergeCell ref="F117:H117"/>
    <mergeCell ref="F118:H118"/>
    <mergeCell ref="F119:H119"/>
    <mergeCell ref="F120:H120"/>
    <mergeCell ref="F109:H109"/>
    <mergeCell ref="F110:H110"/>
    <mergeCell ref="F111:H111"/>
    <mergeCell ref="F112:H112"/>
    <mergeCell ref="F113:H113"/>
    <mergeCell ref="F114:H114"/>
    <mergeCell ref="F103:H103"/>
    <mergeCell ref="F104:H104"/>
    <mergeCell ref="F105:H105"/>
    <mergeCell ref="F106:H106"/>
    <mergeCell ref="F107:H107"/>
    <mergeCell ref="F108:H108"/>
    <mergeCell ref="F97:H97"/>
    <mergeCell ref="F98:H98"/>
    <mergeCell ref="F99:H99"/>
    <mergeCell ref="F100:H100"/>
    <mergeCell ref="F101:H101"/>
    <mergeCell ref="F102:H102"/>
    <mergeCell ref="F91:H91"/>
    <mergeCell ref="F92:H92"/>
    <mergeCell ref="F93:H93"/>
    <mergeCell ref="F94:H94"/>
    <mergeCell ref="F95:H95"/>
    <mergeCell ref="F96:H96"/>
    <mergeCell ref="F85:H85"/>
    <mergeCell ref="F86:H86"/>
    <mergeCell ref="F87:H87"/>
    <mergeCell ref="F88:H88"/>
    <mergeCell ref="F89:H89"/>
    <mergeCell ref="F90:H90"/>
    <mergeCell ref="F79:H79"/>
    <mergeCell ref="F80:H80"/>
    <mergeCell ref="F81:H81"/>
    <mergeCell ref="F82:H82"/>
    <mergeCell ref="F83:H83"/>
    <mergeCell ref="F84:H84"/>
    <mergeCell ref="F60:H60"/>
    <mergeCell ref="F73:H73"/>
    <mergeCell ref="F74:H74"/>
    <mergeCell ref="F75:H75"/>
    <mergeCell ref="F76:H76"/>
    <mergeCell ref="F77:H77"/>
    <mergeCell ref="F78:H78"/>
    <mergeCell ref="F67:H67"/>
    <mergeCell ref="F68:H68"/>
    <mergeCell ref="F69:H69"/>
    <mergeCell ref="F70:H70"/>
    <mergeCell ref="F71:H71"/>
    <mergeCell ref="F72:H72"/>
    <mergeCell ref="F46:H46"/>
    <mergeCell ref="F47:H47"/>
    <mergeCell ref="F48:H48"/>
    <mergeCell ref="F49:H49"/>
    <mergeCell ref="F50:H50"/>
    <mergeCell ref="F43:H43"/>
    <mergeCell ref="F44:H44"/>
    <mergeCell ref="F45:H45"/>
    <mergeCell ref="F157:H157"/>
    <mergeCell ref="F51:H51"/>
    <mergeCell ref="F52:H52"/>
    <mergeCell ref="F53:H53"/>
    <mergeCell ref="F54:H54"/>
    <mergeCell ref="F61:H61"/>
    <mergeCell ref="F62:H62"/>
    <mergeCell ref="F63:H63"/>
    <mergeCell ref="F64:H64"/>
    <mergeCell ref="F65:H65"/>
    <mergeCell ref="F66:H66"/>
    <mergeCell ref="F55:H55"/>
    <mergeCell ref="F56:H56"/>
    <mergeCell ref="F57:H57"/>
    <mergeCell ref="F58:H58"/>
    <mergeCell ref="F59:H59"/>
    <mergeCell ref="F37:H37"/>
    <mergeCell ref="F38:H38"/>
    <mergeCell ref="F39:H39"/>
    <mergeCell ref="F40:H40"/>
    <mergeCell ref="F41:H41"/>
    <mergeCell ref="F42:H42"/>
    <mergeCell ref="F31:H31"/>
    <mergeCell ref="F32:H32"/>
    <mergeCell ref="F33:H33"/>
    <mergeCell ref="F34:H34"/>
    <mergeCell ref="F35:H35"/>
    <mergeCell ref="F36:H36"/>
    <mergeCell ref="I19:I20"/>
    <mergeCell ref="B13:D14"/>
    <mergeCell ref="K19:K20"/>
    <mergeCell ref="F25:H25"/>
    <mergeCell ref="F26:H26"/>
    <mergeCell ref="F27:H27"/>
    <mergeCell ref="F28:H28"/>
    <mergeCell ref="F29:H29"/>
    <mergeCell ref="F30:H30"/>
    <mergeCell ref="F21:H21"/>
    <mergeCell ref="F22:H22"/>
    <mergeCell ref="F23:H23"/>
    <mergeCell ref="F24:H24"/>
    <mergeCell ref="B19:B20"/>
    <mergeCell ref="C19:C20"/>
    <mergeCell ref="D19:D20"/>
    <mergeCell ref="E19:E20"/>
    <mergeCell ref="F19:H20"/>
  </mergeCells>
  <phoneticPr fontId="1" type="noConversion"/>
  <dataValidations count="1">
    <dataValidation allowBlank="1" showInputMessage="1" sqref="F16:G16 C21:C140 G17:H18 E13:F19 E21:I140 I17:I19 H13:I16 C15:C19 J19" xr:uid="{B6536748-E83E-4FD5-A95F-2EF6764CEDE9}"/>
  </dataValidations>
  <pageMargins left="0.70866141732283472" right="0.70866141732283472" top="0.74803149606299213" bottom="0.74803149606299213" header="0.31496062992125984" footer="0.31496062992125984"/>
  <pageSetup paperSize="9" scale="66" orientation="landscape" horizontalDpi="4294967293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C7C0B907-EBB7-4624-A0E3-C1D3F85B8C4A}">
          <x14:formula1>
            <xm:f>드롭다운목록!$H$3:$H$6</xm:f>
          </x14:formula1>
          <xm:sqref>D15:D19 D21:D145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9BA6-BD90-4837-A474-0447B9FD04EE}">
  <sheetPr>
    <tabColor theme="6" tint="0.39997558519241921"/>
  </sheetPr>
  <dimension ref="B2:J47"/>
  <sheetViews>
    <sheetView showGridLines="0" zoomScaleNormal="100" workbookViewId="0">
      <pane xSplit="10" ySplit="7" topLeftCell="K8" activePane="bottomRight" state="frozen"/>
      <selection pane="topRight" activeCell="K1" sqref="K1"/>
      <selection pane="bottomLeft" activeCell="A8" sqref="A8"/>
      <selection pane="bottomRight" activeCell="G25" sqref="G25"/>
    </sheetView>
  </sheetViews>
  <sheetFormatPr defaultColWidth="9" defaultRowHeight="16.5"/>
  <cols>
    <col min="1" max="1" width="3" style="115" customWidth="1"/>
    <col min="2" max="2" width="9" style="115"/>
    <col min="3" max="3" width="11.625" style="115" bestFit="1" customWidth="1"/>
    <col min="4" max="4" width="13.875" style="115" bestFit="1" customWidth="1"/>
    <col min="5" max="5" width="13.875" style="115" customWidth="1"/>
    <col min="6" max="6" width="54.875" style="115" bestFit="1" customWidth="1"/>
    <col min="7" max="7" width="21.875" style="115" customWidth="1"/>
    <col min="8" max="9" width="13.25" style="115" customWidth="1"/>
    <col min="10" max="10" width="3.5" style="115" customWidth="1"/>
    <col min="11" max="16384" width="9" style="115"/>
  </cols>
  <sheetData>
    <row r="2" spans="2:10">
      <c r="B2" s="362" t="s">
        <v>245</v>
      </c>
      <c r="C2" s="362"/>
      <c r="D2" s="362"/>
      <c r="E2" s="362"/>
      <c r="F2" s="362"/>
      <c r="H2" s="129" t="s">
        <v>219</v>
      </c>
      <c r="I2" s="132">
        <f>+'사업비 사용실적 명세서'!G38</f>
        <v>400000</v>
      </c>
    </row>
    <row r="3" spans="2:10" ht="17.25" thickBot="1">
      <c r="B3" s="362"/>
      <c r="C3" s="362"/>
      <c r="D3" s="362"/>
      <c r="E3" s="362"/>
      <c r="F3" s="362"/>
      <c r="H3" s="130" t="s">
        <v>220</v>
      </c>
      <c r="I3" s="133">
        <f>+'사업비 사용실적 명세서'!I38</f>
        <v>61110</v>
      </c>
      <c r="J3" s="135">
        <f>+H7-I3</f>
        <v>0</v>
      </c>
    </row>
    <row r="4" spans="2:10" ht="21" thickBot="1">
      <c r="B4" s="107"/>
      <c r="H4" s="131" t="s">
        <v>221</v>
      </c>
      <c r="I4" s="134">
        <f>+I2-I3</f>
        <v>338890</v>
      </c>
    </row>
    <row r="5" spans="2:10" ht="21" thickBot="1">
      <c r="B5" s="107"/>
    </row>
    <row r="6" spans="2:10" ht="33" customHeight="1">
      <c r="B6" s="363" t="s">
        <v>218</v>
      </c>
      <c r="C6" s="365" t="s">
        <v>13</v>
      </c>
      <c r="D6" s="358" t="s">
        <v>223</v>
      </c>
      <c r="E6" s="358" t="s">
        <v>246</v>
      </c>
      <c r="F6" s="358" t="s">
        <v>46</v>
      </c>
      <c r="G6" s="358" t="s">
        <v>196</v>
      </c>
      <c r="H6" s="116" t="s">
        <v>291</v>
      </c>
      <c r="I6" s="360" t="s">
        <v>207</v>
      </c>
    </row>
    <row r="7" spans="2:10" ht="18" thickBot="1">
      <c r="B7" s="364"/>
      <c r="C7" s="366"/>
      <c r="D7" s="359"/>
      <c r="E7" s="359"/>
      <c r="F7" s="359"/>
      <c r="G7" s="359"/>
      <c r="H7" s="243">
        <f>SUM(H8:H49999)</f>
        <v>61110</v>
      </c>
      <c r="I7" s="361"/>
    </row>
    <row r="8" spans="2:10">
      <c r="B8" s="236">
        <v>1</v>
      </c>
      <c r="C8" s="237">
        <v>45383</v>
      </c>
      <c r="D8" s="238" t="s">
        <v>197</v>
      </c>
      <c r="E8" s="238" t="s">
        <v>247</v>
      </c>
      <c r="F8" s="238" t="s">
        <v>198</v>
      </c>
      <c r="G8" s="239" t="s">
        <v>199</v>
      </c>
      <c r="H8" s="240">
        <v>11110</v>
      </c>
      <c r="I8" s="241"/>
    </row>
    <row r="9" spans="2:10">
      <c r="B9" s="117">
        <v>2</v>
      </c>
      <c r="C9" s="118">
        <v>45413</v>
      </c>
      <c r="D9" s="120" t="s">
        <v>200</v>
      </c>
      <c r="E9" s="123" t="s">
        <v>248</v>
      </c>
      <c r="F9" s="123" t="s">
        <v>201</v>
      </c>
      <c r="G9" s="119" t="s">
        <v>199</v>
      </c>
      <c r="H9" s="121">
        <v>50000</v>
      </c>
      <c r="I9" s="122"/>
    </row>
    <row r="10" spans="2:10">
      <c r="B10" s="117">
        <v>3</v>
      </c>
      <c r="C10" s="124"/>
      <c r="D10" s="120"/>
      <c r="E10" s="123"/>
      <c r="F10" s="123"/>
      <c r="G10" s="119"/>
      <c r="H10" s="121"/>
      <c r="I10" s="122"/>
    </row>
    <row r="11" spans="2:10">
      <c r="B11" s="117">
        <v>4</v>
      </c>
      <c r="C11" s="124"/>
      <c r="D11" s="120"/>
      <c r="E11" s="123"/>
      <c r="F11" s="123"/>
      <c r="G11" s="119"/>
      <c r="H11" s="121"/>
      <c r="I11" s="122"/>
    </row>
    <row r="12" spans="2:10">
      <c r="B12" s="117">
        <v>5</v>
      </c>
      <c r="C12" s="124"/>
      <c r="D12" s="120"/>
      <c r="E12" s="123"/>
      <c r="F12" s="123"/>
      <c r="G12" s="119"/>
      <c r="H12" s="121"/>
      <c r="I12" s="122"/>
    </row>
    <row r="13" spans="2:10">
      <c r="B13" s="117">
        <v>6</v>
      </c>
      <c r="C13" s="124"/>
      <c r="D13" s="120"/>
      <c r="E13" s="123"/>
      <c r="F13" s="123"/>
      <c r="G13" s="119"/>
      <c r="H13" s="121"/>
      <c r="I13" s="122"/>
    </row>
    <row r="14" spans="2:10">
      <c r="B14" s="117">
        <v>7</v>
      </c>
      <c r="C14" s="124"/>
      <c r="D14" s="120"/>
      <c r="E14" s="123"/>
      <c r="F14" s="123"/>
      <c r="G14" s="119"/>
      <c r="H14" s="121"/>
      <c r="I14" s="122"/>
    </row>
    <row r="15" spans="2:10">
      <c r="B15" s="117">
        <v>8</v>
      </c>
      <c r="C15" s="124"/>
      <c r="D15" s="120"/>
      <c r="E15" s="123"/>
      <c r="F15" s="123"/>
      <c r="G15" s="119"/>
      <c r="H15" s="121"/>
      <c r="I15" s="122"/>
    </row>
    <row r="16" spans="2:10">
      <c r="B16" s="117">
        <v>9</v>
      </c>
      <c r="C16" s="124"/>
      <c r="D16" s="120"/>
      <c r="E16" s="123"/>
      <c r="F16" s="123"/>
      <c r="G16" s="119"/>
      <c r="H16" s="121"/>
      <c r="I16" s="122"/>
    </row>
    <row r="17" spans="2:9">
      <c r="B17" s="117">
        <v>10</v>
      </c>
      <c r="C17" s="124"/>
      <c r="D17" s="120"/>
      <c r="E17" s="123"/>
      <c r="F17" s="123"/>
      <c r="G17" s="119"/>
      <c r="H17" s="121"/>
      <c r="I17" s="122"/>
    </row>
    <row r="18" spans="2:9">
      <c r="B18" s="117">
        <v>11</v>
      </c>
      <c r="C18" s="124"/>
      <c r="D18" s="120"/>
      <c r="E18" s="123"/>
      <c r="F18" s="123"/>
      <c r="G18" s="119"/>
      <c r="H18" s="121"/>
      <c r="I18" s="122"/>
    </row>
    <row r="19" spans="2:9">
      <c r="B19" s="117">
        <v>12</v>
      </c>
      <c r="C19" s="124"/>
      <c r="D19" s="120"/>
      <c r="E19" s="123"/>
      <c r="F19" s="123"/>
      <c r="G19" s="119"/>
      <c r="H19" s="121"/>
      <c r="I19" s="122"/>
    </row>
    <row r="20" spans="2:9">
      <c r="B20" s="117">
        <v>13</v>
      </c>
      <c r="C20" s="124"/>
      <c r="D20" s="120"/>
      <c r="E20" s="123"/>
      <c r="F20" s="123"/>
      <c r="G20" s="119"/>
      <c r="H20" s="121"/>
      <c r="I20" s="122"/>
    </row>
    <row r="21" spans="2:9">
      <c r="B21" s="117">
        <v>14</v>
      </c>
      <c r="C21" s="124"/>
      <c r="D21" s="120"/>
      <c r="E21" s="123"/>
      <c r="F21" s="123"/>
      <c r="G21" s="119"/>
      <c r="H21" s="121"/>
      <c r="I21" s="122"/>
    </row>
    <row r="22" spans="2:9">
      <c r="B22" s="117">
        <v>15</v>
      </c>
      <c r="C22" s="124"/>
      <c r="D22" s="120"/>
      <c r="E22" s="123"/>
      <c r="F22" s="123"/>
      <c r="G22" s="119"/>
      <c r="H22" s="121"/>
      <c r="I22" s="122"/>
    </row>
    <row r="23" spans="2:9">
      <c r="B23" s="117">
        <v>16</v>
      </c>
      <c r="C23" s="124"/>
      <c r="D23" s="120"/>
      <c r="E23" s="123"/>
      <c r="F23" s="123"/>
      <c r="G23" s="119"/>
      <c r="H23" s="121"/>
      <c r="I23" s="122"/>
    </row>
    <row r="24" spans="2:9">
      <c r="B24" s="117">
        <v>17</v>
      </c>
      <c r="C24" s="124"/>
      <c r="D24" s="120"/>
      <c r="E24" s="123"/>
      <c r="F24" s="123"/>
      <c r="G24" s="119"/>
      <c r="H24" s="121"/>
      <c r="I24" s="122"/>
    </row>
    <row r="25" spans="2:9">
      <c r="B25" s="117">
        <v>18</v>
      </c>
      <c r="C25" s="124"/>
      <c r="D25" s="120"/>
      <c r="E25" s="123"/>
      <c r="F25" s="123"/>
      <c r="G25" s="119"/>
      <c r="H25" s="121"/>
      <c r="I25" s="122"/>
    </row>
    <row r="26" spans="2:9">
      <c r="B26" s="117">
        <v>19</v>
      </c>
      <c r="C26" s="124"/>
      <c r="D26" s="120"/>
      <c r="E26" s="123"/>
      <c r="F26" s="123"/>
      <c r="G26" s="119"/>
      <c r="H26" s="121"/>
      <c r="I26" s="122"/>
    </row>
    <row r="27" spans="2:9">
      <c r="B27" s="117">
        <v>20</v>
      </c>
      <c r="C27" s="124"/>
      <c r="D27" s="120"/>
      <c r="E27" s="123"/>
      <c r="F27" s="123"/>
      <c r="G27" s="119"/>
      <c r="H27" s="121"/>
      <c r="I27" s="122"/>
    </row>
    <row r="28" spans="2:9">
      <c r="B28" s="117">
        <v>21</v>
      </c>
      <c r="C28" s="124"/>
      <c r="D28" s="120"/>
      <c r="E28" s="123"/>
      <c r="F28" s="123"/>
      <c r="G28" s="119"/>
      <c r="H28" s="121"/>
      <c r="I28" s="122"/>
    </row>
    <row r="29" spans="2:9">
      <c r="B29" s="117">
        <v>22</v>
      </c>
      <c r="C29" s="124"/>
      <c r="D29" s="120"/>
      <c r="E29" s="123"/>
      <c r="F29" s="123"/>
      <c r="G29" s="119"/>
      <c r="H29" s="121"/>
      <c r="I29" s="122"/>
    </row>
    <row r="30" spans="2:9">
      <c r="B30" s="117">
        <v>23</v>
      </c>
      <c r="C30" s="124"/>
      <c r="D30" s="120"/>
      <c r="E30" s="123"/>
      <c r="F30" s="123"/>
      <c r="G30" s="119"/>
      <c r="H30" s="121"/>
      <c r="I30" s="122"/>
    </row>
    <row r="31" spans="2:9">
      <c r="B31" s="117">
        <v>24</v>
      </c>
      <c r="C31" s="124"/>
      <c r="D31" s="120"/>
      <c r="E31" s="123"/>
      <c r="F31" s="123"/>
      <c r="G31" s="119"/>
      <c r="H31" s="121"/>
      <c r="I31" s="122"/>
    </row>
    <row r="32" spans="2:9">
      <c r="B32" s="117">
        <v>25</v>
      </c>
      <c r="C32" s="124"/>
      <c r="D32" s="120"/>
      <c r="E32" s="123"/>
      <c r="F32" s="123"/>
      <c r="G32" s="119"/>
      <c r="H32" s="121"/>
      <c r="I32" s="122"/>
    </row>
    <row r="33" spans="2:9">
      <c r="B33" s="117">
        <v>26</v>
      </c>
      <c r="C33" s="124"/>
      <c r="D33" s="120"/>
      <c r="E33" s="123"/>
      <c r="F33" s="123"/>
      <c r="G33" s="119"/>
      <c r="H33" s="121"/>
      <c r="I33" s="122"/>
    </row>
    <row r="34" spans="2:9">
      <c r="B34" s="117">
        <v>27</v>
      </c>
      <c r="C34" s="124"/>
      <c r="D34" s="120"/>
      <c r="E34" s="123"/>
      <c r="F34" s="123"/>
      <c r="G34" s="119"/>
      <c r="H34" s="121"/>
      <c r="I34" s="122"/>
    </row>
    <row r="35" spans="2:9">
      <c r="B35" s="117">
        <v>28</v>
      </c>
      <c r="C35" s="124"/>
      <c r="D35" s="120"/>
      <c r="E35" s="123"/>
      <c r="F35" s="123"/>
      <c r="G35" s="119"/>
      <c r="H35" s="121"/>
      <c r="I35" s="122"/>
    </row>
    <row r="36" spans="2:9">
      <c r="B36" s="117">
        <v>29</v>
      </c>
      <c r="C36" s="124"/>
      <c r="D36" s="120"/>
      <c r="E36" s="123"/>
      <c r="F36" s="123"/>
      <c r="G36" s="119"/>
      <c r="H36" s="121"/>
      <c r="I36" s="122"/>
    </row>
    <row r="37" spans="2:9">
      <c r="B37" s="117">
        <v>30</v>
      </c>
      <c r="C37" s="124"/>
      <c r="D37" s="120"/>
      <c r="E37" s="123"/>
      <c r="F37" s="123"/>
      <c r="G37" s="119"/>
      <c r="H37" s="121"/>
      <c r="I37" s="122"/>
    </row>
    <row r="38" spans="2:9">
      <c r="B38" s="117">
        <v>31</v>
      </c>
      <c r="C38" s="124"/>
      <c r="D38" s="120"/>
      <c r="E38" s="123"/>
      <c r="F38" s="123"/>
      <c r="G38" s="119"/>
      <c r="H38" s="121"/>
      <c r="I38" s="122"/>
    </row>
    <row r="39" spans="2:9">
      <c r="B39" s="117">
        <v>32</v>
      </c>
      <c r="C39" s="125"/>
      <c r="D39" s="126"/>
      <c r="E39" s="125"/>
      <c r="F39" s="125"/>
      <c r="G39" s="126"/>
      <c r="H39" s="127"/>
      <c r="I39" s="128"/>
    </row>
    <row r="40" spans="2:9">
      <c r="B40" s="117">
        <v>33</v>
      </c>
      <c r="C40" s="125"/>
      <c r="D40" s="126"/>
      <c r="E40" s="125"/>
      <c r="F40" s="125"/>
      <c r="G40" s="126"/>
      <c r="H40" s="127"/>
      <c r="I40" s="128"/>
    </row>
    <row r="41" spans="2:9">
      <c r="B41" s="117">
        <v>34</v>
      </c>
      <c r="C41" s="125"/>
      <c r="D41" s="126"/>
      <c r="E41" s="125"/>
      <c r="F41" s="125"/>
      <c r="G41" s="126"/>
      <c r="H41" s="127"/>
      <c r="I41" s="128"/>
    </row>
    <row r="42" spans="2:9">
      <c r="B42" s="117">
        <v>35</v>
      </c>
      <c r="C42" s="125"/>
      <c r="D42" s="126"/>
      <c r="E42" s="125"/>
      <c r="F42" s="125"/>
      <c r="G42" s="126"/>
      <c r="H42" s="127"/>
      <c r="I42" s="128"/>
    </row>
    <row r="43" spans="2:9">
      <c r="B43" s="117">
        <v>36</v>
      </c>
      <c r="C43" s="125"/>
      <c r="D43" s="126"/>
      <c r="E43" s="125"/>
      <c r="F43" s="125"/>
      <c r="G43" s="126"/>
      <c r="H43" s="127"/>
      <c r="I43" s="128"/>
    </row>
    <row r="44" spans="2:9">
      <c r="B44" s="117">
        <v>37</v>
      </c>
      <c r="C44" s="125"/>
      <c r="D44" s="126"/>
      <c r="E44" s="125"/>
      <c r="F44" s="125"/>
      <c r="G44" s="126"/>
      <c r="H44" s="127"/>
      <c r="I44" s="128"/>
    </row>
    <row r="45" spans="2:9">
      <c r="B45" s="117">
        <v>38</v>
      </c>
      <c r="C45" s="125"/>
      <c r="D45" s="126"/>
      <c r="E45" s="125"/>
      <c r="F45" s="125"/>
      <c r="G45" s="126"/>
      <c r="H45" s="127"/>
      <c r="I45" s="128"/>
    </row>
    <row r="46" spans="2:9">
      <c r="B46" s="117">
        <v>39</v>
      </c>
      <c r="C46" s="125"/>
      <c r="D46" s="126"/>
      <c r="E46" s="125"/>
      <c r="F46" s="125"/>
      <c r="G46" s="126"/>
      <c r="H46" s="127"/>
      <c r="I46" s="128"/>
    </row>
    <row r="47" spans="2:9">
      <c r="B47" s="117">
        <v>40</v>
      </c>
      <c r="C47" s="125"/>
      <c r="D47" s="126"/>
      <c r="E47" s="125"/>
      <c r="F47" s="125"/>
      <c r="G47" s="126"/>
      <c r="H47" s="127"/>
      <c r="I47" s="128"/>
    </row>
  </sheetData>
  <mergeCells count="8">
    <mergeCell ref="G6:G7"/>
    <mergeCell ref="I6:I7"/>
    <mergeCell ref="B2:F3"/>
    <mergeCell ref="B6:B7"/>
    <mergeCell ref="C6:C7"/>
    <mergeCell ref="D6:D7"/>
    <mergeCell ref="E6:E7"/>
    <mergeCell ref="F6:F7"/>
  </mergeCells>
  <phoneticPr fontId="1" type="noConversion"/>
  <dataValidations count="1">
    <dataValidation allowBlank="1" showInputMessage="1" sqref="C8:G34 C6:H6 H7:H34" xr:uid="{2750D3B5-5B05-46D3-8187-62E6DD1932C8}"/>
  </dataValidations>
  <pageMargins left="0.70866141732283472" right="0.70866141732283472" top="0.74803149606299213" bottom="0.74803149606299213" header="0.31496062992125984" footer="0.31496062992125984"/>
  <pageSetup paperSize="9" scale="62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F9BF-95D1-4972-AE86-59DE896FDF0D}">
  <sheetPr>
    <tabColor theme="6" tint="0.39997558519241921"/>
  </sheetPr>
  <dimension ref="B1:O48"/>
  <sheetViews>
    <sheetView showGridLines="0" zoomScaleNormal="100" workbookViewId="0">
      <pane xSplit="11" ySplit="9" topLeftCell="L10" activePane="bottomRight" state="frozen"/>
      <selection pane="topRight" activeCell="K1" sqref="K1"/>
      <selection pane="bottomLeft" activeCell="A10" sqref="A10"/>
      <selection pane="bottomRight" activeCell="J3" sqref="J3"/>
    </sheetView>
  </sheetViews>
  <sheetFormatPr defaultColWidth="9" defaultRowHeight="16.5"/>
  <cols>
    <col min="1" max="1" width="3" style="115" customWidth="1"/>
    <col min="2" max="2" width="9" style="115"/>
    <col min="3" max="3" width="11.625" style="115" bestFit="1" customWidth="1"/>
    <col min="4" max="5" width="11.625" style="115" customWidth="1"/>
    <col min="6" max="6" width="13.875" style="115" bestFit="1" customWidth="1"/>
    <col min="7" max="7" width="54.875" style="115" bestFit="1" customWidth="1"/>
    <col min="8" max="8" width="21.875" style="115" customWidth="1"/>
    <col min="9" max="10" width="13.25" style="115" customWidth="1"/>
    <col min="11" max="11" width="3.5" style="115" customWidth="1"/>
    <col min="12" max="13" width="9" style="115"/>
    <col min="14" max="14" width="10" style="115" customWidth="1"/>
    <col min="15" max="15" width="11.625" style="115" customWidth="1"/>
    <col min="16" max="16384" width="9" style="115"/>
  </cols>
  <sheetData>
    <row r="1" spans="2:15" ht="3" customHeight="1" thickBot="1"/>
    <row r="2" spans="2:15" ht="20.25" customHeight="1" thickBot="1">
      <c r="M2" s="402" t="s">
        <v>260</v>
      </c>
      <c r="N2" s="403"/>
      <c r="O2" s="404"/>
    </row>
    <row r="3" spans="2:15" ht="16.5" customHeight="1">
      <c r="B3" s="362" t="s">
        <v>249</v>
      </c>
      <c r="C3" s="362"/>
      <c r="D3" s="362"/>
      <c r="E3" s="362"/>
      <c r="F3" s="206"/>
      <c r="G3" s="206"/>
      <c r="I3" s="129" t="s">
        <v>219</v>
      </c>
      <c r="J3" s="132">
        <f>+'사업비 사용실적 명세서'!G39</f>
        <v>300000</v>
      </c>
      <c r="M3" s="405" t="s">
        <v>259</v>
      </c>
      <c r="N3" s="406"/>
      <c r="O3" s="202">
        <f>+'사업비 사용실적 명세서'!G15+'사업비 사용실적 명세서'!G20</f>
        <v>49500000</v>
      </c>
    </row>
    <row r="4" spans="2:15" ht="17.25" customHeight="1" thickBot="1">
      <c r="B4" s="362"/>
      <c r="C4" s="362"/>
      <c r="D4" s="362"/>
      <c r="E4" s="362"/>
      <c r="F4" s="206"/>
      <c r="G4" s="206"/>
      <c r="I4" s="130" t="s">
        <v>220</v>
      </c>
      <c r="J4" s="133">
        <f>+'사업비 사용실적 명세서'!I39</f>
        <v>280000</v>
      </c>
      <c r="K4" s="135">
        <f>+I9-J4</f>
        <v>0</v>
      </c>
      <c r="M4" s="407" t="s">
        <v>261</v>
      </c>
      <c r="N4" s="408"/>
      <c r="O4" s="203">
        <f>+J3</f>
        <v>300000</v>
      </c>
    </row>
    <row r="5" spans="2:15" ht="21" thickBot="1">
      <c r="B5" s="107"/>
      <c r="I5" s="131" t="s">
        <v>221</v>
      </c>
      <c r="J5" s="134">
        <f>+J3-J4</f>
        <v>20000</v>
      </c>
      <c r="M5" s="409" t="s">
        <v>262</v>
      </c>
      <c r="N5" s="410"/>
      <c r="O5" s="204">
        <f>+O4/O3</f>
        <v>6.0606060606060606E-3</v>
      </c>
    </row>
    <row r="6" spans="2:15" ht="22.5" customHeight="1" thickBot="1">
      <c r="B6" s="107"/>
      <c r="M6" s="411"/>
      <c r="N6" s="412"/>
      <c r="O6" s="205" t="str">
        <f>IF(O5&gt;5%,"초과설정","OK")</f>
        <v>OK</v>
      </c>
    </row>
    <row r="7" spans="2:15" ht="22.5" customHeight="1" thickBot="1">
      <c r="B7" s="107"/>
      <c r="M7" s="207"/>
      <c r="N7" s="207"/>
      <c r="O7" s="138"/>
    </row>
    <row r="8" spans="2:15" ht="33">
      <c r="B8" s="363" t="s">
        <v>218</v>
      </c>
      <c r="C8" s="365" t="s">
        <v>13</v>
      </c>
      <c r="D8" s="365" t="s">
        <v>65</v>
      </c>
      <c r="E8" s="365" t="s">
        <v>250</v>
      </c>
      <c r="F8" s="358" t="s">
        <v>195</v>
      </c>
      <c r="G8" s="358" t="s">
        <v>46</v>
      </c>
      <c r="H8" s="358" t="s">
        <v>196</v>
      </c>
      <c r="I8" s="116" t="s">
        <v>291</v>
      </c>
      <c r="J8" s="360" t="s">
        <v>207</v>
      </c>
    </row>
    <row r="9" spans="2:15" ht="18" thickBot="1">
      <c r="B9" s="364"/>
      <c r="C9" s="366"/>
      <c r="D9" s="366"/>
      <c r="E9" s="366"/>
      <c r="F9" s="359"/>
      <c r="G9" s="359"/>
      <c r="H9" s="359"/>
      <c r="I9" s="243">
        <f>SUM(I10:I49999)</f>
        <v>280000</v>
      </c>
      <c r="J9" s="361"/>
    </row>
    <row r="10" spans="2:15">
      <c r="B10" s="236">
        <v>1</v>
      </c>
      <c r="C10" s="237">
        <v>45383</v>
      </c>
      <c r="D10" s="237" t="s">
        <v>338</v>
      </c>
      <c r="E10" s="246">
        <v>3</v>
      </c>
      <c r="F10" s="238" t="s">
        <v>251</v>
      </c>
      <c r="G10" s="238" t="s">
        <v>254</v>
      </c>
      <c r="H10" s="239" t="s">
        <v>253</v>
      </c>
      <c r="I10" s="240">
        <v>90000</v>
      </c>
      <c r="J10" s="241" t="str">
        <f>IFERROR(IF((I10)/E10&gt;30000,"한도초과","OK"),"-")</f>
        <v>OK</v>
      </c>
    </row>
    <row r="11" spans="2:15">
      <c r="B11" s="117">
        <v>2</v>
      </c>
      <c r="C11" s="118">
        <v>45413</v>
      </c>
      <c r="D11" s="237" t="s">
        <v>62</v>
      </c>
      <c r="E11" s="160">
        <v>5</v>
      </c>
      <c r="F11" s="120" t="s">
        <v>252</v>
      </c>
      <c r="G11" s="123" t="s">
        <v>254</v>
      </c>
      <c r="H11" s="119" t="s">
        <v>253</v>
      </c>
      <c r="I11" s="121">
        <v>160000</v>
      </c>
      <c r="J11" s="122" t="str">
        <f t="shared" ref="J11:J41" si="0">IFERROR(IF((I11)/E11&gt;30000,"한도초과","OK"),"-")</f>
        <v>한도초과</v>
      </c>
    </row>
    <row r="12" spans="2:15">
      <c r="B12" s="117">
        <v>3</v>
      </c>
      <c r="C12" s="124"/>
      <c r="D12" s="237"/>
      <c r="E12" s="161">
        <v>1</v>
      </c>
      <c r="F12" s="120"/>
      <c r="G12" s="123"/>
      <c r="H12" s="119"/>
      <c r="I12" s="121">
        <v>30000</v>
      </c>
      <c r="J12" s="122" t="str">
        <f t="shared" si="0"/>
        <v>OK</v>
      </c>
    </row>
    <row r="13" spans="2:15">
      <c r="B13" s="117">
        <v>4</v>
      </c>
      <c r="C13" s="124"/>
      <c r="D13" s="237"/>
      <c r="E13" s="161"/>
      <c r="F13" s="120"/>
      <c r="G13" s="123"/>
      <c r="H13" s="119"/>
      <c r="I13" s="121"/>
      <c r="J13" s="122" t="str">
        <f t="shared" si="0"/>
        <v>-</v>
      </c>
    </row>
    <row r="14" spans="2:15">
      <c r="B14" s="117">
        <v>5</v>
      </c>
      <c r="C14" s="124"/>
      <c r="D14" s="237"/>
      <c r="E14" s="161"/>
      <c r="F14" s="120"/>
      <c r="G14" s="123"/>
      <c r="H14" s="119"/>
      <c r="I14" s="121"/>
      <c r="J14" s="122" t="str">
        <f t="shared" si="0"/>
        <v>-</v>
      </c>
    </row>
    <row r="15" spans="2:15">
      <c r="B15" s="117">
        <v>6</v>
      </c>
      <c r="C15" s="124"/>
      <c r="D15" s="237"/>
      <c r="E15" s="161"/>
      <c r="F15" s="120"/>
      <c r="G15" s="123"/>
      <c r="H15" s="119"/>
      <c r="I15" s="121"/>
      <c r="J15" s="122" t="str">
        <f t="shared" si="0"/>
        <v>-</v>
      </c>
    </row>
    <row r="16" spans="2:15">
      <c r="B16" s="117">
        <v>7</v>
      </c>
      <c r="C16" s="124"/>
      <c r="D16" s="237"/>
      <c r="E16" s="161"/>
      <c r="F16" s="120"/>
      <c r="G16" s="123"/>
      <c r="H16" s="119"/>
      <c r="I16" s="121"/>
      <c r="J16" s="122" t="str">
        <f t="shared" si="0"/>
        <v>-</v>
      </c>
    </row>
    <row r="17" spans="2:10">
      <c r="B17" s="117">
        <v>8</v>
      </c>
      <c r="C17" s="124"/>
      <c r="D17" s="237"/>
      <c r="E17" s="161"/>
      <c r="F17" s="120"/>
      <c r="G17" s="123"/>
      <c r="H17" s="119"/>
      <c r="I17" s="121"/>
      <c r="J17" s="122" t="str">
        <f t="shared" si="0"/>
        <v>-</v>
      </c>
    </row>
    <row r="18" spans="2:10">
      <c r="B18" s="117">
        <v>9</v>
      </c>
      <c r="C18" s="124"/>
      <c r="D18" s="237"/>
      <c r="E18" s="161"/>
      <c r="F18" s="120"/>
      <c r="G18" s="123"/>
      <c r="H18" s="119"/>
      <c r="I18" s="121"/>
      <c r="J18" s="122" t="str">
        <f t="shared" si="0"/>
        <v>-</v>
      </c>
    </row>
    <row r="19" spans="2:10">
      <c r="B19" s="117">
        <v>10</v>
      </c>
      <c r="C19" s="124"/>
      <c r="D19" s="237"/>
      <c r="E19" s="161"/>
      <c r="F19" s="120"/>
      <c r="G19" s="123"/>
      <c r="H19" s="119"/>
      <c r="I19" s="121"/>
      <c r="J19" s="122" t="str">
        <f t="shared" si="0"/>
        <v>-</v>
      </c>
    </row>
    <row r="20" spans="2:10">
      <c r="B20" s="117">
        <v>11</v>
      </c>
      <c r="C20" s="124"/>
      <c r="D20" s="237"/>
      <c r="E20" s="161"/>
      <c r="F20" s="120"/>
      <c r="G20" s="123"/>
      <c r="H20" s="119"/>
      <c r="I20" s="121"/>
      <c r="J20" s="122" t="str">
        <f t="shared" si="0"/>
        <v>-</v>
      </c>
    </row>
    <row r="21" spans="2:10">
      <c r="B21" s="117">
        <v>12</v>
      </c>
      <c r="C21" s="124"/>
      <c r="D21" s="237"/>
      <c r="E21" s="161"/>
      <c r="F21" s="120"/>
      <c r="G21" s="123"/>
      <c r="H21" s="119"/>
      <c r="I21" s="121"/>
      <c r="J21" s="122" t="str">
        <f t="shared" si="0"/>
        <v>-</v>
      </c>
    </row>
    <row r="22" spans="2:10">
      <c r="B22" s="117">
        <v>13</v>
      </c>
      <c r="C22" s="124"/>
      <c r="D22" s="237"/>
      <c r="E22" s="161"/>
      <c r="F22" s="120"/>
      <c r="G22" s="123"/>
      <c r="H22" s="119"/>
      <c r="I22" s="121"/>
      <c r="J22" s="122" t="str">
        <f t="shared" si="0"/>
        <v>-</v>
      </c>
    </row>
    <row r="23" spans="2:10">
      <c r="B23" s="117">
        <v>14</v>
      </c>
      <c r="C23" s="124"/>
      <c r="D23" s="237"/>
      <c r="E23" s="161"/>
      <c r="F23" s="120"/>
      <c r="G23" s="123"/>
      <c r="H23" s="119"/>
      <c r="I23" s="121"/>
      <c r="J23" s="122" t="str">
        <f t="shared" si="0"/>
        <v>-</v>
      </c>
    </row>
    <row r="24" spans="2:10">
      <c r="B24" s="117">
        <v>15</v>
      </c>
      <c r="C24" s="124"/>
      <c r="D24" s="237"/>
      <c r="E24" s="161"/>
      <c r="F24" s="120"/>
      <c r="G24" s="123"/>
      <c r="H24" s="119"/>
      <c r="I24" s="121"/>
      <c r="J24" s="122" t="str">
        <f t="shared" si="0"/>
        <v>-</v>
      </c>
    </row>
    <row r="25" spans="2:10">
      <c r="B25" s="117">
        <v>16</v>
      </c>
      <c r="C25" s="124"/>
      <c r="D25" s="237"/>
      <c r="E25" s="161"/>
      <c r="F25" s="120"/>
      <c r="G25" s="123"/>
      <c r="H25" s="119"/>
      <c r="I25" s="121"/>
      <c r="J25" s="122" t="str">
        <f t="shared" si="0"/>
        <v>-</v>
      </c>
    </row>
    <row r="26" spans="2:10">
      <c r="B26" s="117">
        <v>17</v>
      </c>
      <c r="C26" s="124"/>
      <c r="D26" s="237"/>
      <c r="E26" s="161"/>
      <c r="F26" s="120"/>
      <c r="G26" s="123"/>
      <c r="H26" s="119"/>
      <c r="I26" s="121"/>
      <c r="J26" s="122" t="str">
        <f t="shared" si="0"/>
        <v>-</v>
      </c>
    </row>
    <row r="27" spans="2:10">
      <c r="B27" s="117">
        <v>18</v>
      </c>
      <c r="C27" s="124"/>
      <c r="D27" s="237"/>
      <c r="E27" s="161"/>
      <c r="F27" s="120"/>
      <c r="G27" s="123"/>
      <c r="H27" s="119"/>
      <c r="I27" s="121"/>
      <c r="J27" s="122" t="str">
        <f t="shared" si="0"/>
        <v>-</v>
      </c>
    </row>
    <row r="28" spans="2:10">
      <c r="B28" s="117">
        <v>19</v>
      </c>
      <c r="C28" s="124"/>
      <c r="D28" s="237"/>
      <c r="E28" s="161"/>
      <c r="F28" s="120"/>
      <c r="G28" s="123"/>
      <c r="H28" s="119"/>
      <c r="I28" s="121"/>
      <c r="J28" s="122" t="str">
        <f t="shared" si="0"/>
        <v>-</v>
      </c>
    </row>
    <row r="29" spans="2:10">
      <c r="B29" s="117">
        <v>20</v>
      </c>
      <c r="C29" s="124"/>
      <c r="D29" s="237"/>
      <c r="E29" s="161"/>
      <c r="F29" s="120"/>
      <c r="G29" s="123"/>
      <c r="H29" s="119"/>
      <c r="I29" s="121"/>
      <c r="J29" s="122" t="str">
        <f t="shared" si="0"/>
        <v>-</v>
      </c>
    </row>
    <row r="30" spans="2:10">
      <c r="B30" s="117">
        <v>21</v>
      </c>
      <c r="C30" s="124"/>
      <c r="D30" s="237"/>
      <c r="E30" s="161"/>
      <c r="F30" s="120"/>
      <c r="G30" s="123"/>
      <c r="H30" s="119"/>
      <c r="I30" s="121"/>
      <c r="J30" s="122" t="str">
        <f t="shared" si="0"/>
        <v>-</v>
      </c>
    </row>
    <row r="31" spans="2:10">
      <c r="B31" s="117">
        <v>22</v>
      </c>
      <c r="C31" s="124"/>
      <c r="D31" s="237"/>
      <c r="E31" s="161"/>
      <c r="F31" s="120"/>
      <c r="G31" s="123"/>
      <c r="H31" s="119"/>
      <c r="I31" s="121"/>
      <c r="J31" s="122" t="str">
        <f t="shared" si="0"/>
        <v>-</v>
      </c>
    </row>
    <row r="32" spans="2:10">
      <c r="B32" s="117">
        <v>23</v>
      </c>
      <c r="C32" s="124"/>
      <c r="D32" s="237"/>
      <c r="E32" s="161"/>
      <c r="F32" s="120"/>
      <c r="G32" s="123"/>
      <c r="H32" s="119"/>
      <c r="I32" s="121"/>
      <c r="J32" s="122" t="str">
        <f t="shared" si="0"/>
        <v>-</v>
      </c>
    </row>
    <row r="33" spans="2:10">
      <c r="B33" s="117">
        <v>24</v>
      </c>
      <c r="C33" s="124"/>
      <c r="D33" s="237"/>
      <c r="E33" s="161"/>
      <c r="F33" s="120"/>
      <c r="G33" s="123"/>
      <c r="H33" s="119"/>
      <c r="I33" s="121"/>
      <c r="J33" s="122" t="str">
        <f t="shared" si="0"/>
        <v>-</v>
      </c>
    </row>
    <row r="34" spans="2:10">
      <c r="B34" s="117">
        <v>25</v>
      </c>
      <c r="C34" s="124"/>
      <c r="D34" s="237"/>
      <c r="E34" s="161"/>
      <c r="F34" s="120"/>
      <c r="G34" s="123"/>
      <c r="H34" s="119"/>
      <c r="I34" s="121"/>
      <c r="J34" s="122" t="str">
        <f t="shared" si="0"/>
        <v>-</v>
      </c>
    </row>
    <row r="35" spans="2:10">
      <c r="B35" s="117">
        <v>26</v>
      </c>
      <c r="C35" s="124"/>
      <c r="D35" s="237"/>
      <c r="E35" s="161"/>
      <c r="F35" s="120"/>
      <c r="G35" s="123"/>
      <c r="H35" s="119"/>
      <c r="I35" s="121"/>
      <c r="J35" s="122" t="str">
        <f t="shared" si="0"/>
        <v>-</v>
      </c>
    </row>
    <row r="36" spans="2:10">
      <c r="B36" s="117">
        <v>27</v>
      </c>
      <c r="C36" s="124"/>
      <c r="D36" s="237"/>
      <c r="E36" s="161"/>
      <c r="F36" s="120"/>
      <c r="G36" s="123"/>
      <c r="H36" s="119"/>
      <c r="I36" s="121"/>
      <c r="J36" s="122" t="str">
        <f t="shared" si="0"/>
        <v>-</v>
      </c>
    </row>
    <row r="37" spans="2:10">
      <c r="B37" s="117">
        <v>28</v>
      </c>
      <c r="C37" s="124"/>
      <c r="D37" s="237"/>
      <c r="E37" s="161"/>
      <c r="F37" s="120"/>
      <c r="G37" s="123"/>
      <c r="H37" s="119"/>
      <c r="I37" s="121"/>
      <c r="J37" s="122" t="str">
        <f t="shared" si="0"/>
        <v>-</v>
      </c>
    </row>
    <row r="38" spans="2:10">
      <c r="B38" s="117">
        <v>29</v>
      </c>
      <c r="C38" s="124"/>
      <c r="D38" s="237"/>
      <c r="E38" s="161"/>
      <c r="F38" s="120"/>
      <c r="G38" s="123"/>
      <c r="H38" s="119"/>
      <c r="I38" s="121"/>
      <c r="J38" s="122" t="str">
        <f t="shared" si="0"/>
        <v>-</v>
      </c>
    </row>
    <row r="39" spans="2:10">
      <c r="B39" s="117">
        <v>30</v>
      </c>
      <c r="C39" s="124"/>
      <c r="D39" s="237"/>
      <c r="E39" s="161"/>
      <c r="F39" s="120"/>
      <c r="G39" s="123"/>
      <c r="H39" s="119"/>
      <c r="I39" s="121"/>
      <c r="J39" s="122" t="str">
        <f t="shared" si="0"/>
        <v>-</v>
      </c>
    </row>
    <row r="40" spans="2:10">
      <c r="B40" s="117">
        <v>31</v>
      </c>
      <c r="C40" s="124"/>
      <c r="D40" s="237"/>
      <c r="E40" s="161"/>
      <c r="F40" s="120"/>
      <c r="G40" s="123"/>
      <c r="H40" s="119"/>
      <c r="I40" s="121"/>
      <c r="J40" s="122" t="str">
        <f t="shared" si="0"/>
        <v>-</v>
      </c>
    </row>
    <row r="41" spans="2:10">
      <c r="B41" s="117">
        <v>32</v>
      </c>
      <c r="C41" s="125"/>
      <c r="D41" s="237"/>
      <c r="E41" s="162"/>
      <c r="F41" s="126"/>
      <c r="G41" s="125"/>
      <c r="H41" s="126"/>
      <c r="I41" s="127"/>
      <c r="J41" s="122" t="str">
        <f t="shared" si="0"/>
        <v>-</v>
      </c>
    </row>
    <row r="42" spans="2:10">
      <c r="B42" s="117">
        <v>33</v>
      </c>
      <c r="C42" s="125"/>
      <c r="D42" s="237"/>
      <c r="E42" s="162"/>
      <c r="F42" s="126"/>
      <c r="G42" s="125"/>
      <c r="H42" s="126"/>
      <c r="I42" s="127"/>
      <c r="J42" s="122" t="str">
        <f t="shared" ref="J42:J48" si="1">IFERROR(IF((I42)/E42&gt;30000,"한도초과","OK"),"-")</f>
        <v>-</v>
      </c>
    </row>
    <row r="43" spans="2:10">
      <c r="B43" s="117">
        <v>34</v>
      </c>
      <c r="C43" s="125"/>
      <c r="D43" s="237"/>
      <c r="E43" s="162"/>
      <c r="F43" s="126"/>
      <c r="G43" s="125"/>
      <c r="H43" s="126"/>
      <c r="I43" s="127"/>
      <c r="J43" s="122" t="str">
        <f t="shared" si="1"/>
        <v>-</v>
      </c>
    </row>
    <row r="44" spans="2:10">
      <c r="B44" s="117">
        <v>35</v>
      </c>
      <c r="C44" s="125"/>
      <c r="D44" s="237"/>
      <c r="E44" s="162"/>
      <c r="F44" s="126"/>
      <c r="G44" s="125"/>
      <c r="H44" s="126"/>
      <c r="I44" s="127"/>
      <c r="J44" s="122" t="str">
        <f t="shared" si="1"/>
        <v>-</v>
      </c>
    </row>
    <row r="45" spans="2:10">
      <c r="B45" s="117">
        <v>36</v>
      </c>
      <c r="C45" s="125"/>
      <c r="D45" s="237"/>
      <c r="E45" s="162"/>
      <c r="F45" s="126"/>
      <c r="G45" s="125"/>
      <c r="H45" s="126"/>
      <c r="I45" s="127"/>
      <c r="J45" s="122" t="str">
        <f t="shared" si="1"/>
        <v>-</v>
      </c>
    </row>
    <row r="46" spans="2:10">
      <c r="B46" s="117">
        <v>37</v>
      </c>
      <c r="C46" s="125"/>
      <c r="D46" s="237"/>
      <c r="E46" s="162"/>
      <c r="F46" s="126"/>
      <c r="G46" s="125"/>
      <c r="H46" s="126"/>
      <c r="I46" s="127"/>
      <c r="J46" s="122" t="str">
        <f t="shared" si="1"/>
        <v>-</v>
      </c>
    </row>
    <row r="47" spans="2:10">
      <c r="B47" s="117">
        <v>38</v>
      </c>
      <c r="C47" s="125"/>
      <c r="D47" s="237"/>
      <c r="E47" s="162"/>
      <c r="F47" s="126"/>
      <c r="G47" s="125"/>
      <c r="H47" s="126"/>
      <c r="I47" s="127"/>
      <c r="J47" s="122" t="str">
        <f t="shared" si="1"/>
        <v>-</v>
      </c>
    </row>
    <row r="48" spans="2:10">
      <c r="B48" s="117">
        <v>39</v>
      </c>
      <c r="C48" s="125"/>
      <c r="D48" s="237"/>
      <c r="E48" s="162"/>
      <c r="F48" s="126"/>
      <c r="G48" s="125"/>
      <c r="H48" s="126"/>
      <c r="I48" s="127"/>
      <c r="J48" s="122" t="str">
        <f t="shared" si="1"/>
        <v>-</v>
      </c>
    </row>
  </sheetData>
  <mergeCells count="13">
    <mergeCell ref="M2:O2"/>
    <mergeCell ref="M3:N3"/>
    <mergeCell ref="M4:N4"/>
    <mergeCell ref="M5:N6"/>
    <mergeCell ref="B3:E4"/>
    <mergeCell ref="H8:H9"/>
    <mergeCell ref="J8:J9"/>
    <mergeCell ref="B8:B9"/>
    <mergeCell ref="C8:C9"/>
    <mergeCell ref="E8:E9"/>
    <mergeCell ref="F8:F9"/>
    <mergeCell ref="G8:G9"/>
    <mergeCell ref="D8:D9"/>
  </mergeCells>
  <phoneticPr fontId="1" type="noConversion"/>
  <dataValidations count="1">
    <dataValidation allowBlank="1" showInputMessage="1" sqref="I8:I36 C8:H8 C10:C36 E10:H36" xr:uid="{17CDF2FC-1C71-4BCC-B3E2-9F02C1FF6D9C}"/>
  </dataValidations>
  <pageMargins left="0.70866141732283472" right="0.70866141732283472" top="0.74803149606299213" bottom="0.74803149606299213" header="0.31496062992125984" footer="0.31496062992125984"/>
  <pageSetup paperSize="9" scale="62" orientation="landscape" horizontalDpi="4294967293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4DE695AE-C3EE-42DC-A1A2-96C88DBA949C}">
          <x14:formula1>
            <xm:f>드롭다운목록!$M$3:$M$5</xm:f>
          </x14:formula1>
          <xm:sqref>D10:D48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CEEF7-ED26-4AA9-92D8-AC05307DC79C}">
  <sheetPr>
    <tabColor theme="6" tint="0.39997558519241921"/>
  </sheetPr>
  <dimension ref="B1:K39"/>
  <sheetViews>
    <sheetView showGridLines="0" zoomScaleNormal="100" workbookViewId="0">
      <pane xSplit="11" ySplit="7" topLeftCell="L8" activePane="bottomRight" state="frozen"/>
      <selection pane="topRight" activeCell="L1" sqref="L1"/>
      <selection pane="bottomLeft" activeCell="A8" sqref="A8"/>
      <selection pane="bottomRight" activeCell="H25" sqref="H25"/>
    </sheetView>
  </sheetViews>
  <sheetFormatPr defaultColWidth="9" defaultRowHeight="16.5"/>
  <cols>
    <col min="1" max="1" width="3" style="115" customWidth="1"/>
    <col min="2" max="2" width="9" style="115"/>
    <col min="3" max="3" width="11.625" style="115" bestFit="1" customWidth="1"/>
    <col min="4" max="4" width="13.875" style="115" bestFit="1" customWidth="1"/>
    <col min="5" max="5" width="15.25" style="115" customWidth="1"/>
    <col min="6" max="6" width="16.5" style="115" customWidth="1"/>
    <col min="7" max="7" width="30" style="115" customWidth="1"/>
    <col min="8" max="8" width="21.875" style="115" customWidth="1"/>
    <col min="9" max="10" width="13.25" style="115" customWidth="1"/>
    <col min="11" max="11" width="3.5" style="115" customWidth="1"/>
    <col min="12" max="16384" width="9" style="115"/>
  </cols>
  <sheetData>
    <row r="1" spans="2:11" ht="6.75" customHeight="1"/>
    <row r="2" spans="2:11" ht="21.75" customHeight="1">
      <c r="B2" s="362" t="s">
        <v>255</v>
      </c>
      <c r="C2" s="362"/>
      <c r="D2" s="362"/>
      <c r="E2" s="362"/>
      <c r="F2" s="362"/>
      <c r="G2" s="362"/>
      <c r="H2" s="362"/>
      <c r="I2" s="129" t="s">
        <v>219</v>
      </c>
      <c r="J2" s="132">
        <f>+'사업비 사용실적 명세서'!G41</f>
        <v>4500000</v>
      </c>
    </row>
    <row r="3" spans="2:11" ht="21.75" customHeight="1" thickBot="1">
      <c r="B3" s="362"/>
      <c r="C3" s="362"/>
      <c r="D3" s="362"/>
      <c r="E3" s="362"/>
      <c r="F3" s="362"/>
      <c r="G3" s="362"/>
      <c r="H3" s="362"/>
      <c r="I3" s="130" t="s">
        <v>220</v>
      </c>
      <c r="J3" s="133">
        <f>+'사업비 사용실적 명세서'!I41</f>
        <v>550000</v>
      </c>
      <c r="K3" s="135">
        <f>+I7-J3</f>
        <v>0</v>
      </c>
    </row>
    <row r="4" spans="2:11" ht="17.25" thickBot="1">
      <c r="B4" s="163"/>
      <c r="C4" s="163"/>
      <c r="D4" s="163"/>
      <c r="E4" s="163"/>
      <c r="F4" s="163"/>
      <c r="G4" s="141"/>
      <c r="H4" s="141"/>
      <c r="I4" s="131" t="s">
        <v>221</v>
      </c>
      <c r="J4" s="134">
        <f>+J2-J3</f>
        <v>3950000</v>
      </c>
    </row>
    <row r="5" spans="2:11" ht="21" thickBot="1">
      <c r="B5" s="107"/>
    </row>
    <row r="6" spans="2:11" ht="33" customHeight="1">
      <c r="B6" s="363" t="s">
        <v>218</v>
      </c>
      <c r="C6" s="365" t="s">
        <v>13</v>
      </c>
      <c r="D6" s="358" t="s">
        <v>223</v>
      </c>
      <c r="E6" s="396" t="s">
        <v>46</v>
      </c>
      <c r="F6" s="397"/>
      <c r="G6" s="398"/>
      <c r="H6" s="358" t="s">
        <v>196</v>
      </c>
      <c r="I6" s="116" t="s">
        <v>291</v>
      </c>
      <c r="J6" s="360" t="s">
        <v>207</v>
      </c>
    </row>
    <row r="7" spans="2:11" ht="18" thickBot="1">
      <c r="B7" s="364"/>
      <c r="C7" s="366"/>
      <c r="D7" s="359"/>
      <c r="E7" s="399"/>
      <c r="F7" s="400"/>
      <c r="G7" s="401"/>
      <c r="H7" s="359"/>
      <c r="I7" s="243">
        <f>SUM(I8:I49999)</f>
        <v>550000</v>
      </c>
      <c r="J7" s="361"/>
    </row>
    <row r="8" spans="2:11">
      <c r="B8" s="236">
        <v>1</v>
      </c>
      <c r="C8" s="237">
        <v>45383</v>
      </c>
      <c r="D8" s="238" t="s">
        <v>224</v>
      </c>
      <c r="E8" s="379" t="s">
        <v>225</v>
      </c>
      <c r="F8" s="380"/>
      <c r="G8" s="381"/>
      <c r="H8" s="239" t="s">
        <v>199</v>
      </c>
      <c r="I8" s="240">
        <v>500000</v>
      </c>
      <c r="J8" s="241"/>
    </row>
    <row r="9" spans="2:11">
      <c r="B9" s="117">
        <v>2</v>
      </c>
      <c r="C9" s="118">
        <v>45413</v>
      </c>
      <c r="D9" s="120"/>
      <c r="E9" s="376"/>
      <c r="F9" s="377"/>
      <c r="G9" s="378"/>
      <c r="H9" s="119" t="s">
        <v>199</v>
      </c>
      <c r="I9" s="121">
        <v>50000</v>
      </c>
      <c r="J9" s="122"/>
    </row>
    <row r="10" spans="2:11">
      <c r="B10" s="117">
        <v>3</v>
      </c>
      <c r="C10" s="124"/>
      <c r="D10" s="120"/>
      <c r="E10" s="376"/>
      <c r="F10" s="377"/>
      <c r="G10" s="378"/>
      <c r="H10" s="119"/>
      <c r="I10" s="121"/>
      <c r="J10" s="122"/>
    </row>
    <row r="11" spans="2:11">
      <c r="B11" s="117">
        <v>4</v>
      </c>
      <c r="C11" s="124"/>
      <c r="D11" s="120"/>
      <c r="E11" s="376"/>
      <c r="F11" s="377"/>
      <c r="G11" s="378"/>
      <c r="H11" s="119"/>
      <c r="I11" s="121"/>
      <c r="J11" s="122"/>
    </row>
    <row r="12" spans="2:11">
      <c r="B12" s="117">
        <v>5</v>
      </c>
      <c r="C12" s="124"/>
      <c r="D12" s="120"/>
      <c r="E12" s="376"/>
      <c r="F12" s="377"/>
      <c r="G12" s="378"/>
      <c r="H12" s="119"/>
      <c r="I12" s="121"/>
      <c r="J12" s="122"/>
    </row>
    <row r="13" spans="2:11">
      <c r="B13" s="117">
        <v>6</v>
      </c>
      <c r="C13" s="124"/>
      <c r="D13" s="120"/>
      <c r="E13" s="376"/>
      <c r="F13" s="377"/>
      <c r="G13" s="378"/>
      <c r="H13" s="119"/>
      <c r="I13" s="121"/>
      <c r="J13" s="122"/>
    </row>
    <row r="14" spans="2:11">
      <c r="B14" s="117">
        <v>7</v>
      </c>
      <c r="C14" s="124"/>
      <c r="D14" s="120"/>
      <c r="E14" s="376"/>
      <c r="F14" s="377"/>
      <c r="G14" s="378"/>
      <c r="H14" s="119"/>
      <c r="I14" s="121"/>
      <c r="J14" s="122"/>
    </row>
    <row r="15" spans="2:11">
      <c r="B15" s="117">
        <v>8</v>
      </c>
      <c r="C15" s="124"/>
      <c r="D15" s="120"/>
      <c r="E15" s="376"/>
      <c r="F15" s="377"/>
      <c r="G15" s="378"/>
      <c r="H15" s="119"/>
      <c r="I15" s="121"/>
      <c r="J15" s="122"/>
    </row>
    <row r="16" spans="2:11">
      <c r="B16" s="117">
        <v>9</v>
      </c>
      <c r="C16" s="124"/>
      <c r="D16" s="120"/>
      <c r="E16" s="376"/>
      <c r="F16" s="377"/>
      <c r="G16" s="378"/>
      <c r="H16" s="119"/>
      <c r="I16" s="121"/>
      <c r="J16" s="122"/>
    </row>
    <row r="17" spans="2:10">
      <c r="B17" s="117">
        <v>10</v>
      </c>
      <c r="C17" s="124"/>
      <c r="D17" s="120"/>
      <c r="E17" s="376"/>
      <c r="F17" s="377"/>
      <c r="G17" s="378"/>
      <c r="H17" s="119"/>
      <c r="I17" s="121"/>
      <c r="J17" s="122"/>
    </row>
    <row r="18" spans="2:10">
      <c r="B18" s="117">
        <v>11</v>
      </c>
      <c r="C18" s="124"/>
      <c r="D18" s="120"/>
      <c r="E18" s="376"/>
      <c r="F18" s="377"/>
      <c r="G18" s="378"/>
      <c r="H18" s="119"/>
      <c r="I18" s="121"/>
      <c r="J18" s="122"/>
    </row>
    <row r="19" spans="2:10">
      <c r="B19" s="117">
        <v>12</v>
      </c>
      <c r="C19" s="124"/>
      <c r="D19" s="120"/>
      <c r="E19" s="376"/>
      <c r="F19" s="377"/>
      <c r="G19" s="378"/>
      <c r="H19" s="119"/>
      <c r="I19" s="121"/>
      <c r="J19" s="122"/>
    </row>
    <row r="20" spans="2:10">
      <c r="B20" s="117">
        <v>13</v>
      </c>
      <c r="C20" s="124"/>
      <c r="D20" s="120"/>
      <c r="E20" s="376"/>
      <c r="F20" s="377"/>
      <c r="G20" s="378"/>
      <c r="H20" s="119"/>
      <c r="I20" s="121"/>
      <c r="J20" s="122"/>
    </row>
    <row r="21" spans="2:10">
      <c r="B21" s="117">
        <v>14</v>
      </c>
      <c r="C21" s="124"/>
      <c r="D21" s="120"/>
      <c r="E21" s="376"/>
      <c r="F21" s="377"/>
      <c r="G21" s="378"/>
      <c r="H21" s="119"/>
      <c r="I21" s="121"/>
      <c r="J21" s="122"/>
    </row>
    <row r="22" spans="2:10">
      <c r="B22" s="117">
        <v>15</v>
      </c>
      <c r="C22" s="124"/>
      <c r="D22" s="120"/>
      <c r="E22" s="376"/>
      <c r="F22" s="377"/>
      <c r="G22" s="378"/>
      <c r="H22" s="119"/>
      <c r="I22" s="121"/>
      <c r="J22" s="122"/>
    </row>
    <row r="23" spans="2:10">
      <c r="B23" s="117">
        <v>16</v>
      </c>
      <c r="C23" s="124"/>
      <c r="D23" s="120"/>
      <c r="E23" s="376"/>
      <c r="F23" s="377"/>
      <c r="G23" s="378"/>
      <c r="H23" s="119"/>
      <c r="I23" s="121"/>
      <c r="J23" s="122"/>
    </row>
    <row r="24" spans="2:10">
      <c r="B24" s="117">
        <v>17</v>
      </c>
      <c r="C24" s="124"/>
      <c r="D24" s="120"/>
      <c r="E24" s="376"/>
      <c r="F24" s="377"/>
      <c r="G24" s="378"/>
      <c r="H24" s="119"/>
      <c r="I24" s="121"/>
      <c r="J24" s="122"/>
    </row>
    <row r="25" spans="2:10">
      <c r="B25" s="117">
        <v>18</v>
      </c>
      <c r="C25" s="124"/>
      <c r="D25" s="120"/>
      <c r="E25" s="376"/>
      <c r="F25" s="377"/>
      <c r="G25" s="378"/>
      <c r="H25" s="119"/>
      <c r="I25" s="121"/>
      <c r="J25" s="122"/>
    </row>
    <row r="26" spans="2:10">
      <c r="B26" s="117">
        <v>19</v>
      </c>
      <c r="C26" s="124"/>
      <c r="D26" s="120"/>
      <c r="E26" s="376"/>
      <c r="F26" s="377"/>
      <c r="G26" s="378"/>
      <c r="H26" s="119"/>
      <c r="I26" s="121"/>
      <c r="J26" s="122"/>
    </row>
    <row r="27" spans="2:10">
      <c r="B27" s="117">
        <v>20</v>
      </c>
      <c r="C27" s="124"/>
      <c r="D27" s="120"/>
      <c r="E27" s="376"/>
      <c r="F27" s="377"/>
      <c r="G27" s="378"/>
      <c r="H27" s="119"/>
      <c r="I27" s="121"/>
      <c r="J27" s="122"/>
    </row>
    <row r="28" spans="2:10">
      <c r="B28" s="117">
        <v>21</v>
      </c>
      <c r="C28" s="124"/>
      <c r="D28" s="120"/>
      <c r="E28" s="376"/>
      <c r="F28" s="377"/>
      <c r="G28" s="378"/>
      <c r="H28" s="119"/>
      <c r="I28" s="121"/>
      <c r="J28" s="122"/>
    </row>
    <row r="29" spans="2:10">
      <c r="B29" s="117">
        <v>22</v>
      </c>
      <c r="C29" s="124"/>
      <c r="D29" s="120"/>
      <c r="E29" s="376"/>
      <c r="F29" s="377"/>
      <c r="G29" s="378"/>
      <c r="H29" s="119"/>
      <c r="I29" s="121"/>
      <c r="J29" s="122"/>
    </row>
    <row r="30" spans="2:10">
      <c r="B30" s="117">
        <v>23</v>
      </c>
      <c r="C30" s="124"/>
      <c r="D30" s="120"/>
      <c r="E30" s="376"/>
      <c r="F30" s="377"/>
      <c r="G30" s="378"/>
      <c r="H30" s="119"/>
      <c r="I30" s="121"/>
      <c r="J30" s="122"/>
    </row>
    <row r="31" spans="2:10">
      <c r="B31" s="117">
        <v>24</v>
      </c>
      <c r="C31" s="124"/>
      <c r="D31" s="120"/>
      <c r="E31" s="376"/>
      <c r="F31" s="377"/>
      <c r="G31" s="378"/>
      <c r="H31" s="119"/>
      <c r="I31" s="121"/>
      <c r="J31" s="122"/>
    </row>
    <row r="32" spans="2:10">
      <c r="B32" s="117">
        <v>25</v>
      </c>
      <c r="C32" s="124"/>
      <c r="D32" s="120"/>
      <c r="E32" s="376"/>
      <c r="F32" s="377"/>
      <c r="G32" s="378"/>
      <c r="H32" s="119"/>
      <c r="I32" s="121"/>
      <c r="J32" s="122"/>
    </row>
    <row r="33" spans="2:10">
      <c r="B33" s="117">
        <v>26</v>
      </c>
      <c r="C33" s="124"/>
      <c r="D33" s="120"/>
      <c r="E33" s="376"/>
      <c r="F33" s="377"/>
      <c r="G33" s="378"/>
      <c r="H33" s="119"/>
      <c r="I33" s="121"/>
      <c r="J33" s="122"/>
    </row>
    <row r="34" spans="2:10">
      <c r="B34" s="117">
        <v>27</v>
      </c>
      <c r="C34" s="124"/>
      <c r="D34" s="120"/>
      <c r="E34" s="376"/>
      <c r="F34" s="377"/>
      <c r="G34" s="378"/>
      <c r="H34" s="119"/>
      <c r="I34" s="121"/>
      <c r="J34" s="122"/>
    </row>
    <row r="35" spans="2:10">
      <c r="B35" s="117">
        <v>28</v>
      </c>
      <c r="C35" s="124"/>
      <c r="D35" s="120"/>
      <c r="E35" s="376"/>
      <c r="F35" s="377"/>
      <c r="G35" s="378"/>
      <c r="H35" s="119"/>
      <c r="I35" s="121"/>
      <c r="J35" s="122"/>
    </row>
    <row r="36" spans="2:10">
      <c r="B36" s="117">
        <v>29</v>
      </c>
      <c r="C36" s="124"/>
      <c r="D36" s="120"/>
      <c r="E36" s="376"/>
      <c r="F36" s="377"/>
      <c r="G36" s="378"/>
      <c r="H36" s="119"/>
      <c r="I36" s="121"/>
      <c r="J36" s="122"/>
    </row>
    <row r="37" spans="2:10">
      <c r="B37" s="117">
        <v>30</v>
      </c>
      <c r="C37" s="124"/>
      <c r="D37" s="120"/>
      <c r="E37" s="376"/>
      <c r="F37" s="377"/>
      <c r="G37" s="378"/>
      <c r="H37" s="119"/>
      <c r="I37" s="121"/>
      <c r="J37" s="122"/>
    </row>
    <row r="38" spans="2:10">
      <c r="B38" s="117">
        <v>31</v>
      </c>
      <c r="C38" s="124"/>
      <c r="D38" s="120"/>
      <c r="E38" s="376"/>
      <c r="F38" s="377"/>
      <c r="G38" s="378"/>
      <c r="H38" s="119"/>
      <c r="I38" s="121"/>
      <c r="J38" s="122"/>
    </row>
    <row r="39" spans="2:10">
      <c r="B39" s="117">
        <v>32</v>
      </c>
      <c r="C39" s="125"/>
      <c r="D39" s="126"/>
      <c r="E39" s="376"/>
      <c r="F39" s="377"/>
      <c r="G39" s="378"/>
      <c r="H39" s="126"/>
      <c r="I39" s="127"/>
      <c r="J39" s="128"/>
    </row>
  </sheetData>
  <mergeCells count="39">
    <mergeCell ref="E36:G36"/>
    <mergeCell ref="E37:G37"/>
    <mergeCell ref="E38:G38"/>
    <mergeCell ref="E39:G39"/>
    <mergeCell ref="E35:G35"/>
    <mergeCell ref="E32:G32"/>
    <mergeCell ref="E33:G33"/>
    <mergeCell ref="E24:G24"/>
    <mergeCell ref="E25:G25"/>
    <mergeCell ref="E26:G26"/>
    <mergeCell ref="E27:G27"/>
    <mergeCell ref="E28:G28"/>
    <mergeCell ref="E34:G34"/>
    <mergeCell ref="E23:G23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9:G29"/>
    <mergeCell ref="E30:G30"/>
    <mergeCell ref="E31:G31"/>
    <mergeCell ref="J6:J7"/>
    <mergeCell ref="E11:G11"/>
    <mergeCell ref="B2:H3"/>
    <mergeCell ref="E8:G8"/>
    <mergeCell ref="E9:G9"/>
    <mergeCell ref="E10:G10"/>
    <mergeCell ref="B6:B7"/>
    <mergeCell ref="C6:C7"/>
    <mergeCell ref="D6:D7"/>
    <mergeCell ref="E6:G7"/>
    <mergeCell ref="H6:H7"/>
  </mergeCells>
  <phoneticPr fontId="1" type="noConversion"/>
  <dataValidations count="1">
    <dataValidation allowBlank="1" showInputMessage="1" sqref="F5:G5 F9:G24 C8:E24 C5:E6 H8:H24 H5:H6 I5:I24" xr:uid="{F0EF8F1B-799C-4E76-84DB-582DC729288A}"/>
  </dataValidations>
  <pageMargins left="0.70866141732283472" right="0.70866141732283472" top="0.74803149606299213" bottom="0.74803149606299213" header="0.31496062992125984" footer="0.31496062992125984"/>
  <pageSetup paperSize="9" scale="66" orientation="landscape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2234-79ED-4C69-B19E-BBA70DE8F300}">
  <sheetPr>
    <tabColor rgb="FFFFFF00"/>
  </sheetPr>
  <dimension ref="A1:G129"/>
  <sheetViews>
    <sheetView showGridLines="0" zoomScale="85" zoomScaleNormal="85" workbookViewId="0">
      <selection activeCell="A3" sqref="A3:G3"/>
    </sheetView>
  </sheetViews>
  <sheetFormatPr defaultRowHeight="16.5" outlineLevelRow="1"/>
  <cols>
    <col min="1" max="1" width="18.875" customWidth="1"/>
    <col min="3" max="3" width="28.5" customWidth="1"/>
    <col min="4" max="4" width="44.125" customWidth="1"/>
    <col min="5" max="5" width="117.75" customWidth="1"/>
    <col min="6" max="6" width="42.25" customWidth="1"/>
    <col min="7" max="7" width="255.75" customWidth="1"/>
  </cols>
  <sheetData>
    <row r="1" spans="1:7" ht="19.5">
      <c r="A1" s="440" t="s">
        <v>302</v>
      </c>
      <c r="B1" s="440"/>
      <c r="C1" s="440"/>
      <c r="D1" s="440"/>
      <c r="E1" s="440"/>
      <c r="F1" s="440"/>
      <c r="G1" s="440"/>
    </row>
    <row r="2" spans="1:7" ht="18.75">
      <c r="A2" s="442" t="s">
        <v>323</v>
      </c>
      <c r="B2" s="442"/>
      <c r="C2" s="442"/>
      <c r="D2" s="442"/>
      <c r="E2" s="442"/>
      <c r="F2" s="442"/>
      <c r="G2" s="442"/>
    </row>
    <row r="3" spans="1:7" ht="79.5" customHeight="1">
      <c r="A3" s="441" t="s">
        <v>354</v>
      </c>
      <c r="B3" s="442"/>
      <c r="C3" s="442"/>
      <c r="D3" s="442"/>
      <c r="E3" s="442"/>
      <c r="F3" s="442"/>
      <c r="G3" s="442"/>
    </row>
    <row r="4" spans="1:7" ht="18.75">
      <c r="A4" s="371" t="s">
        <v>303</v>
      </c>
      <c r="B4" s="371"/>
      <c r="C4" s="371"/>
      <c r="D4" s="371"/>
      <c r="E4" s="371"/>
      <c r="F4" s="371"/>
      <c r="G4" s="255"/>
    </row>
    <row r="6" spans="1:7" ht="20.25">
      <c r="A6" s="443" t="s">
        <v>301</v>
      </c>
      <c r="B6" s="443"/>
      <c r="C6" s="443"/>
      <c r="D6" s="443"/>
      <c r="E6" s="443"/>
      <c r="F6" s="443"/>
      <c r="G6" s="443"/>
    </row>
    <row r="7" spans="1:7" ht="18.75">
      <c r="A7" s="371" t="s">
        <v>304</v>
      </c>
      <c r="B7" s="371"/>
      <c r="C7" s="371"/>
      <c r="D7" s="371"/>
      <c r="E7" s="371"/>
      <c r="F7" s="371"/>
      <c r="G7" s="213"/>
    </row>
    <row r="8" spans="1:7" ht="17.25" thickBot="1"/>
    <row r="9" spans="1:7" ht="16.5" customHeight="1">
      <c r="A9" s="100" t="s">
        <v>109</v>
      </c>
      <c r="B9" s="429" t="s">
        <v>81</v>
      </c>
      <c r="C9" s="429"/>
      <c r="D9" s="101" t="s">
        <v>82</v>
      </c>
      <c r="E9" s="101" t="s">
        <v>83</v>
      </c>
      <c r="F9" s="102" t="s">
        <v>110</v>
      </c>
      <c r="G9" s="98"/>
    </row>
    <row r="10" spans="1:7" ht="73.5" customHeight="1">
      <c r="A10" s="430" t="s">
        <v>84</v>
      </c>
      <c r="B10" s="431" t="s">
        <v>112</v>
      </c>
      <c r="C10" s="431"/>
      <c r="D10" s="187" t="s">
        <v>85</v>
      </c>
      <c r="E10" s="187" t="s">
        <v>324</v>
      </c>
      <c r="F10" s="414" t="s">
        <v>86</v>
      </c>
      <c r="G10" s="99"/>
    </row>
    <row r="11" spans="1:7" ht="16.5" customHeight="1">
      <c r="A11" s="430"/>
      <c r="B11" s="431"/>
      <c r="C11" s="431"/>
      <c r="D11" s="187" t="s">
        <v>87</v>
      </c>
      <c r="E11" s="187"/>
      <c r="F11" s="415"/>
      <c r="G11" s="99"/>
    </row>
    <row r="12" spans="1:7" s="183" customFormat="1" ht="16.5" hidden="1" customHeight="1" outlineLevel="1">
      <c r="A12" s="179" t="s">
        <v>88</v>
      </c>
      <c r="B12" s="180" t="s">
        <v>106</v>
      </c>
      <c r="C12" s="181" t="s">
        <v>89</v>
      </c>
      <c r="D12" s="181" t="s">
        <v>90</v>
      </c>
      <c r="E12" s="444" t="s">
        <v>177</v>
      </c>
      <c r="F12" s="415"/>
      <c r="G12" s="182"/>
    </row>
    <row r="13" spans="1:7" s="183" customFormat="1" ht="16.5" hidden="1" customHeight="1" outlineLevel="1">
      <c r="A13" s="179" t="s">
        <v>91</v>
      </c>
      <c r="B13" s="184"/>
      <c r="C13" s="181" t="s">
        <v>180</v>
      </c>
      <c r="D13" s="181" t="s">
        <v>179</v>
      </c>
      <c r="E13" s="445"/>
      <c r="F13" s="415"/>
      <c r="G13" s="182"/>
    </row>
    <row r="14" spans="1:7" s="183" customFormat="1" ht="16.5" hidden="1" customHeight="1" outlineLevel="1">
      <c r="A14" s="179" t="s">
        <v>84</v>
      </c>
      <c r="B14" s="184"/>
      <c r="C14" s="181" t="s">
        <v>92</v>
      </c>
      <c r="D14" s="181" t="s">
        <v>93</v>
      </c>
      <c r="E14" s="446"/>
      <c r="F14" s="415"/>
      <c r="G14" s="182"/>
    </row>
    <row r="15" spans="1:7" ht="16.5" customHeight="1" collapsed="1">
      <c r="A15" s="185" t="s">
        <v>84</v>
      </c>
      <c r="B15" s="433" t="s">
        <v>107</v>
      </c>
      <c r="C15" s="187" t="s">
        <v>96</v>
      </c>
      <c r="D15" s="187" t="s">
        <v>97</v>
      </c>
      <c r="E15" s="188" t="s">
        <v>326</v>
      </c>
      <c r="F15" s="415"/>
      <c r="G15" s="99"/>
    </row>
    <row r="16" spans="1:7" ht="60">
      <c r="A16" s="185" t="s">
        <v>91</v>
      </c>
      <c r="B16" s="434"/>
      <c r="C16" s="187" t="s">
        <v>94</v>
      </c>
      <c r="D16" s="187" t="s">
        <v>95</v>
      </c>
      <c r="E16" s="187" t="s">
        <v>325</v>
      </c>
      <c r="F16" s="416"/>
      <c r="G16" s="99"/>
    </row>
    <row r="17" spans="1:7" ht="70.5" customHeight="1">
      <c r="A17" s="447" t="s">
        <v>178</v>
      </c>
      <c r="B17" s="433" t="s">
        <v>108</v>
      </c>
      <c r="C17" s="435" t="s">
        <v>184</v>
      </c>
      <c r="D17" s="187" t="s">
        <v>334</v>
      </c>
      <c r="E17" s="432" t="s">
        <v>327</v>
      </c>
      <c r="F17" s="417" t="s">
        <v>111</v>
      </c>
      <c r="G17" s="99"/>
    </row>
    <row r="18" spans="1:7">
      <c r="A18" s="448"/>
      <c r="B18" s="438"/>
      <c r="C18" s="436"/>
      <c r="D18" s="187" t="s">
        <v>98</v>
      </c>
      <c r="E18" s="432"/>
      <c r="F18" s="418"/>
      <c r="G18" s="99"/>
    </row>
    <row r="19" spans="1:7" ht="40.5">
      <c r="A19" s="448"/>
      <c r="B19" s="438"/>
      <c r="C19" s="436"/>
      <c r="D19" s="187" t="s">
        <v>99</v>
      </c>
      <c r="E19" s="187" t="s">
        <v>329</v>
      </c>
      <c r="F19" s="418"/>
      <c r="G19" s="99"/>
    </row>
    <row r="20" spans="1:7" ht="16.5" customHeight="1">
      <c r="A20" s="448"/>
      <c r="B20" s="438"/>
      <c r="C20" s="436"/>
      <c r="D20" s="187" t="s">
        <v>100</v>
      </c>
      <c r="E20" s="432" t="s">
        <v>328</v>
      </c>
      <c r="F20" s="418"/>
      <c r="G20" s="99"/>
    </row>
    <row r="21" spans="1:7" ht="32.25" customHeight="1">
      <c r="A21" s="448"/>
      <c r="B21" s="438"/>
      <c r="C21" s="436"/>
      <c r="D21" s="187" t="s">
        <v>98</v>
      </c>
      <c r="E21" s="432"/>
      <c r="F21" s="418"/>
      <c r="G21" s="99"/>
    </row>
    <row r="22" spans="1:7">
      <c r="A22" s="448"/>
      <c r="B22" s="438"/>
      <c r="C22" s="437"/>
      <c r="D22" s="188" t="s">
        <v>186</v>
      </c>
      <c r="E22" s="189" t="s">
        <v>187</v>
      </c>
      <c r="F22" s="418"/>
      <c r="G22" s="99"/>
    </row>
    <row r="23" spans="1:7" ht="66">
      <c r="A23" s="448"/>
      <c r="B23" s="438"/>
      <c r="C23" s="186" t="s">
        <v>332</v>
      </c>
      <c r="D23" s="187" t="s">
        <v>331</v>
      </c>
      <c r="E23" s="187" t="s">
        <v>330</v>
      </c>
      <c r="F23" s="419"/>
      <c r="G23" s="99"/>
    </row>
    <row r="24" spans="1:7" ht="41.25" thickBot="1">
      <c r="A24" s="449"/>
      <c r="B24" s="439"/>
      <c r="C24" s="190" t="s">
        <v>188</v>
      </c>
      <c r="D24" s="191" t="s">
        <v>101</v>
      </c>
      <c r="E24" s="191" t="s">
        <v>333</v>
      </c>
      <c r="F24" s="192" t="s">
        <v>335</v>
      </c>
      <c r="G24" s="99"/>
    </row>
    <row r="25" spans="1:7" ht="16.5" customHeight="1">
      <c r="A25" s="99"/>
      <c r="B25" s="99"/>
      <c r="C25" s="103"/>
      <c r="D25" s="104"/>
      <c r="E25" s="104"/>
      <c r="F25" s="99"/>
      <c r="G25" s="99"/>
    </row>
    <row r="26" spans="1:7" ht="16.5" customHeight="1">
      <c r="A26" s="424" t="s">
        <v>181</v>
      </c>
      <c r="B26" s="424"/>
      <c r="C26" s="424"/>
      <c r="D26" s="424"/>
      <c r="E26" s="424"/>
      <c r="F26" s="424"/>
      <c r="G26" s="194"/>
    </row>
    <row r="27" spans="1:7" ht="19.5">
      <c r="A27" s="106"/>
      <c r="B27" s="106"/>
      <c r="C27" s="106"/>
      <c r="D27" s="106"/>
      <c r="E27" s="106"/>
      <c r="F27" s="106"/>
      <c r="G27" s="106"/>
    </row>
    <row r="28" spans="1:7" ht="18.75">
      <c r="A28" s="428" t="s">
        <v>113</v>
      </c>
      <c r="B28" s="428"/>
      <c r="C28" s="428"/>
      <c r="D28" s="428"/>
      <c r="E28" s="428"/>
      <c r="F28" s="428"/>
      <c r="G28" s="428"/>
    </row>
    <row r="29" spans="1:7" ht="18.75">
      <c r="A29" s="425" t="s">
        <v>114</v>
      </c>
      <c r="B29" s="425"/>
      <c r="C29" s="425"/>
      <c r="D29" s="425"/>
      <c r="E29" s="425"/>
      <c r="F29" s="425"/>
      <c r="G29" s="425"/>
    </row>
    <row r="30" spans="1:7">
      <c r="A30" s="424" t="s">
        <v>115</v>
      </c>
      <c r="B30" s="424"/>
      <c r="C30" s="424"/>
      <c r="D30" s="424"/>
      <c r="E30" s="424"/>
      <c r="F30" s="424"/>
      <c r="G30" s="424"/>
    </row>
    <row r="31" spans="1:7">
      <c r="A31" s="193"/>
      <c r="B31" s="193"/>
      <c r="C31" s="193"/>
      <c r="D31" s="193"/>
      <c r="E31" s="193"/>
      <c r="F31" s="193"/>
      <c r="G31" s="193"/>
    </row>
    <row r="32" spans="1:7" ht="24">
      <c r="A32" s="428" t="s">
        <v>116</v>
      </c>
      <c r="B32" s="428"/>
      <c r="C32" s="428"/>
      <c r="D32" s="428"/>
      <c r="E32" s="428"/>
      <c r="F32" s="428"/>
      <c r="G32" s="428"/>
    </row>
    <row r="33" spans="1:7" ht="18.75">
      <c r="A33" s="195"/>
      <c r="B33" s="195"/>
      <c r="C33" s="195"/>
      <c r="D33" s="195"/>
      <c r="E33" s="195"/>
      <c r="F33" s="195"/>
      <c r="G33" s="195"/>
    </row>
    <row r="34" spans="1:7" ht="24">
      <c r="A34" s="428" t="s">
        <v>117</v>
      </c>
      <c r="B34" s="428"/>
      <c r="C34" s="428"/>
      <c r="D34" s="428"/>
      <c r="E34" s="428"/>
      <c r="F34" s="428"/>
      <c r="G34" s="428"/>
    </row>
    <row r="35" spans="1:7" ht="18.75">
      <c r="A35" s="195"/>
      <c r="B35" s="195"/>
      <c r="C35" s="195"/>
      <c r="D35" s="195"/>
      <c r="E35" s="195"/>
      <c r="F35" s="195"/>
      <c r="G35" s="195"/>
    </row>
    <row r="36" spans="1:7" ht="24">
      <c r="A36" s="428" t="s">
        <v>118</v>
      </c>
      <c r="B36" s="428"/>
      <c r="C36" s="428"/>
      <c r="D36" s="428"/>
      <c r="E36" s="428"/>
      <c r="F36" s="428"/>
      <c r="G36" s="428"/>
    </row>
    <row r="37" spans="1:7" ht="18.75">
      <c r="A37" s="425" t="s">
        <v>119</v>
      </c>
      <c r="B37" s="425"/>
      <c r="C37" s="425"/>
      <c r="D37" s="425"/>
      <c r="E37" s="425"/>
      <c r="F37" s="425"/>
      <c r="G37" s="425"/>
    </row>
    <row r="38" spans="1:7">
      <c r="A38" s="424" t="s">
        <v>120</v>
      </c>
      <c r="B38" s="424"/>
      <c r="C38" s="424"/>
      <c r="D38" s="424"/>
      <c r="E38" s="424"/>
      <c r="F38" s="424"/>
      <c r="G38" s="424"/>
    </row>
    <row r="39" spans="1:7" ht="19.5">
      <c r="A39" s="424" t="s">
        <v>121</v>
      </c>
      <c r="B39" s="424"/>
      <c r="C39" s="424"/>
      <c r="D39" s="424"/>
      <c r="E39" s="424"/>
      <c r="F39" s="424"/>
      <c r="G39" s="424"/>
    </row>
    <row r="40" spans="1:7" ht="19.5">
      <c r="A40" s="424" t="s">
        <v>122</v>
      </c>
      <c r="B40" s="424"/>
      <c r="C40" s="424"/>
      <c r="D40" s="424"/>
      <c r="E40" s="424"/>
      <c r="F40" s="424"/>
      <c r="G40" s="424"/>
    </row>
    <row r="41" spans="1:7">
      <c r="A41" s="193"/>
      <c r="B41" s="193"/>
      <c r="C41" s="193"/>
      <c r="D41" s="193"/>
      <c r="E41" s="193"/>
      <c r="F41" s="193"/>
      <c r="G41" s="193"/>
    </row>
    <row r="42" spans="1:7" ht="24">
      <c r="A42" s="428" t="s">
        <v>123</v>
      </c>
      <c r="B42" s="428"/>
      <c r="C42" s="428"/>
      <c r="D42" s="428"/>
      <c r="E42" s="428"/>
      <c r="F42" s="428"/>
      <c r="G42" s="428"/>
    </row>
    <row r="43" spans="1:7" ht="19.5">
      <c r="A43" s="424" t="s">
        <v>124</v>
      </c>
      <c r="B43" s="424"/>
      <c r="C43" s="424"/>
      <c r="D43" s="424"/>
      <c r="E43" s="424"/>
      <c r="F43" s="424"/>
      <c r="G43" s="424"/>
    </row>
    <row r="44" spans="1:7">
      <c r="A44" s="193"/>
      <c r="B44" s="193"/>
      <c r="C44" s="193"/>
      <c r="D44" s="193"/>
      <c r="E44" s="193"/>
      <c r="F44" s="193"/>
      <c r="G44" s="193"/>
    </row>
    <row r="45" spans="1:7" ht="19.5">
      <c r="A45" s="428" t="s">
        <v>336</v>
      </c>
      <c r="B45" s="428"/>
      <c r="C45" s="428"/>
      <c r="D45" s="428"/>
      <c r="E45" s="428"/>
      <c r="F45" s="428"/>
      <c r="G45" s="428"/>
    </row>
    <row r="46" spans="1:7" ht="19.5">
      <c r="A46" s="424" t="s">
        <v>264</v>
      </c>
      <c r="B46" s="424"/>
      <c r="C46" s="424"/>
      <c r="D46" s="424"/>
      <c r="E46" s="424"/>
      <c r="F46" s="424"/>
      <c r="G46" s="424"/>
    </row>
    <row r="47" spans="1:7" ht="19.5">
      <c r="A47" s="424" t="s">
        <v>185</v>
      </c>
      <c r="B47" s="424"/>
      <c r="C47" s="424"/>
      <c r="D47" s="424"/>
      <c r="E47" s="424"/>
      <c r="F47" s="424"/>
      <c r="G47" s="424"/>
    </row>
    <row r="48" spans="1:7">
      <c r="A48" s="193"/>
      <c r="B48" s="193"/>
      <c r="C48" s="193"/>
      <c r="D48" s="193"/>
      <c r="E48" s="193"/>
      <c r="F48" s="193"/>
      <c r="G48" s="193"/>
    </row>
    <row r="49" spans="1:7" ht="24">
      <c r="A49" s="428" t="s">
        <v>189</v>
      </c>
      <c r="B49" s="428"/>
      <c r="C49" s="428"/>
      <c r="D49" s="428"/>
      <c r="E49" s="428"/>
      <c r="F49" s="428"/>
      <c r="G49" s="428"/>
    </row>
    <row r="50" spans="1:7" ht="18.75">
      <c r="A50" s="425" t="s">
        <v>125</v>
      </c>
      <c r="B50" s="425"/>
      <c r="C50" s="425"/>
      <c r="D50" s="425"/>
      <c r="E50" s="425"/>
      <c r="F50" s="425"/>
      <c r="G50" s="425"/>
    </row>
    <row r="51" spans="1:7" ht="17.25">
      <c r="A51" s="424" t="s">
        <v>190</v>
      </c>
      <c r="B51" s="424"/>
      <c r="C51" s="424"/>
      <c r="D51" s="424"/>
      <c r="E51" s="424"/>
      <c r="F51" s="424"/>
      <c r="G51" s="424"/>
    </row>
    <row r="53" spans="1:7" s="197" customFormat="1" ht="19.5">
      <c r="A53" s="427" t="s">
        <v>102</v>
      </c>
      <c r="B53" s="427"/>
      <c r="C53" s="427"/>
      <c r="D53" s="427"/>
      <c r="E53" s="427"/>
      <c r="F53" s="427"/>
      <c r="G53" s="427"/>
    </row>
    <row r="54" spans="1:7" s="197" customFormat="1" ht="19.5">
      <c r="A54" s="196"/>
      <c r="B54" s="196"/>
      <c r="C54" s="196"/>
      <c r="D54" s="196"/>
      <c r="E54" s="196"/>
      <c r="F54" s="196"/>
      <c r="G54" s="196"/>
    </row>
    <row r="55" spans="1:7" s="197" customFormat="1" ht="19.5">
      <c r="A55" s="413" t="s">
        <v>126</v>
      </c>
      <c r="B55" s="413"/>
      <c r="C55" s="413"/>
      <c r="D55" s="413"/>
      <c r="E55" s="413"/>
      <c r="F55" s="413"/>
      <c r="G55" s="413"/>
    </row>
    <row r="56" spans="1:7" s="197" customFormat="1" ht="18.75">
      <c r="A56" s="420" t="s">
        <v>127</v>
      </c>
      <c r="B56" s="420"/>
      <c r="C56" s="420"/>
      <c r="D56" s="420"/>
      <c r="E56" s="420"/>
      <c r="F56" s="420"/>
      <c r="G56" s="420"/>
    </row>
    <row r="57" spans="1:7" s="197" customFormat="1" ht="18.75">
      <c r="A57" s="421" t="s">
        <v>128</v>
      </c>
      <c r="B57" s="421"/>
      <c r="C57" s="421"/>
      <c r="D57" s="421"/>
      <c r="E57" s="421"/>
      <c r="F57" s="421"/>
      <c r="G57" s="421"/>
    </row>
    <row r="58" spans="1:7" s="197" customFormat="1">
      <c r="A58" s="423" t="s">
        <v>129</v>
      </c>
      <c r="B58" s="423"/>
      <c r="C58" s="423"/>
      <c r="D58" s="423"/>
      <c r="E58" s="423"/>
      <c r="F58" s="423"/>
      <c r="G58" s="423"/>
    </row>
    <row r="59" spans="1:7" s="197" customFormat="1" ht="18.75">
      <c r="A59" s="421" t="s">
        <v>130</v>
      </c>
      <c r="B59" s="421"/>
      <c r="C59" s="421"/>
      <c r="D59" s="421"/>
      <c r="E59" s="421"/>
      <c r="F59" s="421"/>
      <c r="G59" s="421"/>
    </row>
    <row r="60" spans="1:7" s="197" customFormat="1" ht="24">
      <c r="A60" s="421" t="s">
        <v>131</v>
      </c>
      <c r="B60" s="421"/>
      <c r="C60" s="421"/>
      <c r="D60" s="421"/>
      <c r="E60" s="421"/>
      <c r="F60" s="421"/>
      <c r="G60" s="421"/>
    </row>
    <row r="61" spans="1:7" s="197" customFormat="1" ht="24">
      <c r="A61" s="421" t="s">
        <v>132</v>
      </c>
      <c r="B61" s="421"/>
      <c r="C61" s="421"/>
      <c r="D61" s="421"/>
      <c r="E61" s="421"/>
      <c r="F61" s="421"/>
      <c r="G61" s="421"/>
    </row>
    <row r="62" spans="1:7" s="197" customFormat="1" ht="18.75">
      <c r="A62" s="421" t="s">
        <v>133</v>
      </c>
      <c r="B62" s="421"/>
      <c r="C62" s="421"/>
      <c r="D62" s="421"/>
      <c r="E62" s="421"/>
      <c r="F62" s="421"/>
      <c r="G62" s="421"/>
    </row>
    <row r="63" spans="1:7" s="197" customFormat="1" ht="20.25">
      <c r="A63" s="421" t="s">
        <v>134</v>
      </c>
      <c r="B63" s="421"/>
      <c r="C63" s="421"/>
      <c r="D63" s="421"/>
      <c r="E63" s="421"/>
      <c r="F63" s="421"/>
      <c r="G63" s="421"/>
    </row>
    <row r="64" spans="1:7" s="197" customFormat="1" ht="18.75">
      <c r="A64" s="199"/>
      <c r="B64" s="199"/>
      <c r="C64" s="199"/>
      <c r="D64" s="199"/>
      <c r="E64" s="199"/>
      <c r="F64" s="199"/>
      <c r="G64" s="199"/>
    </row>
    <row r="65" spans="1:7" s="197" customFormat="1">
      <c r="A65" s="426" t="s">
        <v>135</v>
      </c>
      <c r="B65" s="426"/>
      <c r="C65" s="426"/>
      <c r="D65" s="426"/>
      <c r="E65" s="426"/>
      <c r="F65" s="426"/>
      <c r="G65" s="426"/>
    </row>
    <row r="66" spans="1:7" s="197" customFormat="1">
      <c r="A66" s="422" t="s">
        <v>136</v>
      </c>
      <c r="B66" s="422"/>
      <c r="C66" s="422"/>
      <c r="D66" s="422"/>
      <c r="E66" s="422"/>
      <c r="F66" s="422"/>
      <c r="G66" s="422"/>
    </row>
    <row r="67" spans="1:7" s="197" customFormat="1">
      <c r="A67" s="422" t="s">
        <v>137</v>
      </c>
      <c r="B67" s="422"/>
      <c r="C67" s="422"/>
      <c r="D67" s="422"/>
      <c r="E67" s="422"/>
      <c r="F67" s="422"/>
      <c r="G67" s="422"/>
    </row>
    <row r="68" spans="1:7" s="197" customFormat="1">
      <c r="A68" s="422" t="s">
        <v>138</v>
      </c>
      <c r="B68" s="422"/>
      <c r="C68" s="422"/>
      <c r="D68" s="422"/>
      <c r="E68" s="422"/>
      <c r="F68" s="422"/>
      <c r="G68" s="422"/>
    </row>
    <row r="69" spans="1:7" s="197" customFormat="1">
      <c r="A69" s="422" t="s">
        <v>139</v>
      </c>
      <c r="B69" s="422"/>
      <c r="C69" s="422"/>
      <c r="D69" s="422"/>
      <c r="E69" s="422"/>
      <c r="F69" s="422"/>
      <c r="G69" s="422"/>
    </row>
    <row r="70" spans="1:7" s="197" customFormat="1">
      <c r="A70" s="201"/>
      <c r="B70" s="201"/>
      <c r="C70" s="201"/>
      <c r="D70" s="201"/>
      <c r="E70" s="201"/>
      <c r="F70" s="201"/>
      <c r="G70" s="201"/>
    </row>
    <row r="71" spans="1:7" s="197" customFormat="1" ht="19.5">
      <c r="A71" s="413" t="s">
        <v>103</v>
      </c>
      <c r="B71" s="413"/>
      <c r="C71" s="413"/>
      <c r="D71" s="413"/>
      <c r="E71" s="413"/>
      <c r="F71" s="413"/>
      <c r="G71" s="413"/>
    </row>
    <row r="72" spans="1:7" s="197" customFormat="1" ht="18.75">
      <c r="A72" s="420" t="s">
        <v>140</v>
      </c>
      <c r="B72" s="420"/>
      <c r="C72" s="420"/>
      <c r="D72" s="420"/>
      <c r="E72" s="420"/>
      <c r="F72" s="420"/>
      <c r="G72" s="420"/>
    </row>
    <row r="73" spans="1:7" s="197" customFormat="1" ht="18.75">
      <c r="A73" s="421" t="s">
        <v>141</v>
      </c>
      <c r="B73" s="421"/>
      <c r="C73" s="421"/>
      <c r="D73" s="421"/>
      <c r="E73" s="421"/>
      <c r="F73" s="421"/>
      <c r="G73" s="421"/>
    </row>
    <row r="74" spans="1:7" s="197" customFormat="1">
      <c r="A74" s="423" t="s">
        <v>142</v>
      </c>
      <c r="B74" s="423"/>
      <c r="C74" s="423"/>
      <c r="D74" s="423"/>
      <c r="E74" s="423"/>
      <c r="F74" s="423"/>
      <c r="G74" s="423"/>
    </row>
    <row r="75" spans="1:7" s="197" customFormat="1" ht="18.75">
      <c r="A75" s="421" t="s">
        <v>143</v>
      </c>
      <c r="B75" s="421"/>
      <c r="C75" s="421"/>
      <c r="D75" s="421"/>
      <c r="E75" s="421"/>
      <c r="F75" s="421"/>
      <c r="G75" s="421"/>
    </row>
    <row r="76" spans="1:7" s="197" customFormat="1">
      <c r="A76" s="423" t="s">
        <v>144</v>
      </c>
      <c r="B76" s="423"/>
      <c r="C76" s="423"/>
      <c r="D76" s="423"/>
      <c r="E76" s="423"/>
      <c r="F76" s="423"/>
      <c r="G76" s="423"/>
    </row>
    <row r="77" spans="1:7" s="197" customFormat="1">
      <c r="A77" s="426" t="s">
        <v>135</v>
      </c>
      <c r="B77" s="426"/>
      <c r="C77" s="426"/>
      <c r="D77" s="426"/>
      <c r="E77" s="426"/>
      <c r="F77" s="426"/>
      <c r="G77" s="426"/>
    </row>
    <row r="78" spans="1:7" s="197" customFormat="1">
      <c r="A78" s="422" t="s">
        <v>145</v>
      </c>
      <c r="B78" s="422"/>
      <c r="C78" s="422"/>
      <c r="D78" s="422"/>
      <c r="E78" s="422"/>
      <c r="F78" s="422"/>
      <c r="G78" s="422"/>
    </row>
    <row r="79" spans="1:7" s="197" customFormat="1">
      <c r="A79" s="422" t="s">
        <v>146</v>
      </c>
      <c r="B79" s="422"/>
      <c r="C79" s="422"/>
      <c r="D79" s="422"/>
      <c r="E79" s="422"/>
      <c r="F79" s="422"/>
      <c r="G79" s="422"/>
    </row>
    <row r="80" spans="1:7" s="197" customFormat="1">
      <c r="A80" s="422" t="s">
        <v>147</v>
      </c>
      <c r="B80" s="422"/>
      <c r="C80" s="422"/>
      <c r="D80" s="422"/>
      <c r="E80" s="422"/>
      <c r="F80" s="422"/>
      <c r="G80" s="422"/>
    </row>
    <row r="81" spans="1:7" s="197" customFormat="1">
      <c r="A81" s="201"/>
      <c r="B81" s="201"/>
      <c r="C81" s="201"/>
      <c r="D81" s="201"/>
      <c r="E81" s="201"/>
      <c r="F81" s="201"/>
      <c r="G81" s="201"/>
    </row>
    <row r="82" spans="1:7" s="197" customFormat="1" ht="18.75">
      <c r="A82" s="421" t="s">
        <v>148</v>
      </c>
      <c r="B82" s="421"/>
      <c r="C82" s="421"/>
      <c r="D82" s="421"/>
      <c r="E82" s="421"/>
      <c r="F82" s="421"/>
      <c r="G82" s="421"/>
    </row>
    <row r="83" spans="1:7" s="197" customFormat="1" ht="18.75">
      <c r="A83" s="421" t="s">
        <v>149</v>
      </c>
      <c r="B83" s="421"/>
      <c r="C83" s="421"/>
      <c r="D83" s="421"/>
      <c r="E83" s="421"/>
      <c r="F83" s="421"/>
      <c r="G83" s="421"/>
    </row>
    <row r="84" spans="1:7" s="197" customFormat="1" ht="24">
      <c r="A84" s="421" t="s">
        <v>150</v>
      </c>
      <c r="B84" s="421"/>
      <c r="C84" s="421"/>
      <c r="D84" s="421"/>
      <c r="E84" s="421"/>
      <c r="F84" s="421"/>
      <c r="G84" s="421"/>
    </row>
    <row r="85" spans="1:7" s="197" customFormat="1" ht="18.75">
      <c r="A85" s="421" t="s">
        <v>151</v>
      </c>
      <c r="B85" s="421"/>
      <c r="C85" s="421"/>
      <c r="D85" s="421"/>
      <c r="E85" s="421"/>
      <c r="F85" s="421"/>
      <c r="G85" s="421"/>
    </row>
    <row r="86" spans="1:7" s="197" customFormat="1" ht="18.75">
      <c r="A86" s="199"/>
      <c r="B86" s="199"/>
      <c r="C86" s="199"/>
      <c r="D86" s="199"/>
      <c r="E86" s="199"/>
      <c r="F86" s="199"/>
      <c r="G86" s="199"/>
    </row>
    <row r="87" spans="1:7" s="197" customFormat="1" ht="18.75">
      <c r="A87" s="420" t="s">
        <v>156</v>
      </c>
      <c r="B87" s="420"/>
      <c r="C87" s="420"/>
      <c r="D87" s="420"/>
      <c r="E87" s="420"/>
      <c r="F87" s="420"/>
      <c r="G87" s="420"/>
    </row>
    <row r="88" spans="1:7" s="197" customFormat="1" ht="18.75">
      <c r="A88" s="421" t="s">
        <v>157</v>
      </c>
      <c r="B88" s="421"/>
      <c r="C88" s="421"/>
      <c r="D88" s="421"/>
      <c r="E88" s="421"/>
      <c r="F88" s="421"/>
      <c r="G88" s="421"/>
    </row>
    <row r="89" spans="1:7" s="197" customFormat="1" ht="24">
      <c r="A89" s="421" t="s">
        <v>158</v>
      </c>
      <c r="B89" s="421"/>
      <c r="C89" s="421"/>
      <c r="D89" s="421"/>
      <c r="E89" s="421"/>
      <c r="F89" s="421"/>
      <c r="G89" s="421"/>
    </row>
    <row r="90" spans="1:7" s="197" customFormat="1" ht="18.75">
      <c r="A90" s="199"/>
      <c r="B90" s="199"/>
      <c r="C90" s="199"/>
      <c r="D90" s="199"/>
      <c r="E90" s="199"/>
      <c r="F90" s="199"/>
      <c r="G90" s="199"/>
    </row>
    <row r="91" spans="1:7" s="197" customFormat="1" ht="18.75">
      <c r="A91" s="420" t="s">
        <v>159</v>
      </c>
      <c r="B91" s="420"/>
      <c r="C91" s="420"/>
      <c r="D91" s="420"/>
      <c r="E91" s="420"/>
      <c r="F91" s="420"/>
      <c r="G91" s="420"/>
    </row>
    <row r="92" spans="1:7" s="197" customFormat="1" ht="18.75">
      <c r="A92" s="421" t="s">
        <v>160</v>
      </c>
      <c r="B92" s="421"/>
      <c r="C92" s="421"/>
      <c r="D92" s="421"/>
      <c r="E92" s="421"/>
      <c r="F92" s="421"/>
      <c r="G92" s="421"/>
    </row>
    <row r="93" spans="1:7" s="197" customFormat="1" ht="19.5">
      <c r="A93" s="423" t="s">
        <v>193</v>
      </c>
      <c r="B93" s="423"/>
      <c r="C93" s="423"/>
      <c r="D93" s="423"/>
      <c r="E93" s="423"/>
      <c r="F93" s="423"/>
      <c r="G93" s="423"/>
    </row>
    <row r="94" spans="1:7" s="197" customFormat="1">
      <c r="A94" s="200"/>
      <c r="B94" s="200"/>
      <c r="C94" s="200"/>
      <c r="D94" s="200"/>
      <c r="E94" s="200"/>
      <c r="F94" s="200"/>
      <c r="G94" s="200"/>
    </row>
    <row r="95" spans="1:7" s="197" customFormat="1" ht="18.75">
      <c r="A95" s="199"/>
      <c r="B95" s="199"/>
      <c r="C95" s="199"/>
      <c r="D95" s="199"/>
      <c r="E95" s="199"/>
      <c r="F95" s="199"/>
      <c r="G95" s="199"/>
    </row>
    <row r="96" spans="1:7" s="197" customFormat="1" ht="19.5">
      <c r="A96" s="413" t="s">
        <v>104</v>
      </c>
      <c r="B96" s="413"/>
      <c r="C96" s="413"/>
      <c r="D96" s="413"/>
      <c r="E96" s="413"/>
      <c r="F96" s="413"/>
      <c r="G96" s="413"/>
    </row>
    <row r="97" spans="1:7" s="197" customFormat="1" ht="18.75">
      <c r="A97" s="420" t="s">
        <v>161</v>
      </c>
      <c r="B97" s="420"/>
      <c r="C97" s="420"/>
      <c r="D97" s="420"/>
      <c r="E97" s="420"/>
      <c r="F97" s="420"/>
      <c r="G97" s="420"/>
    </row>
    <row r="98" spans="1:7" s="197" customFormat="1" ht="18.75">
      <c r="A98" s="421" t="s">
        <v>162</v>
      </c>
      <c r="B98" s="421"/>
      <c r="C98" s="421"/>
      <c r="D98" s="421"/>
      <c r="E98" s="421"/>
      <c r="F98" s="421"/>
      <c r="G98" s="421"/>
    </row>
    <row r="99" spans="1:7" s="197" customFormat="1" ht="24">
      <c r="A99" s="421" t="s">
        <v>182</v>
      </c>
      <c r="B99" s="421"/>
      <c r="C99" s="421"/>
      <c r="D99" s="421"/>
      <c r="E99" s="421"/>
      <c r="F99" s="421"/>
      <c r="G99" s="421"/>
    </row>
    <row r="100" spans="1:7" s="197" customFormat="1" ht="18.75">
      <c r="A100" s="199"/>
      <c r="B100" s="199"/>
      <c r="C100" s="199"/>
      <c r="D100" s="199"/>
      <c r="E100" s="199"/>
      <c r="F100" s="199"/>
      <c r="G100" s="199"/>
    </row>
    <row r="101" spans="1:7" s="197" customFormat="1" ht="18.75">
      <c r="A101" s="420" t="s">
        <v>163</v>
      </c>
      <c r="B101" s="420"/>
      <c r="C101" s="420"/>
      <c r="D101" s="420"/>
      <c r="E101" s="420"/>
      <c r="F101" s="420"/>
      <c r="G101" s="420"/>
    </row>
    <row r="102" spans="1:7" s="197" customFormat="1" ht="18.75">
      <c r="A102" s="198"/>
      <c r="B102" s="198"/>
      <c r="C102" s="198"/>
      <c r="D102" s="198"/>
      <c r="E102" s="198"/>
      <c r="F102" s="198"/>
      <c r="G102" s="198"/>
    </row>
    <row r="103" spans="1:7" s="197" customFormat="1">
      <c r="A103" s="426" t="s">
        <v>135</v>
      </c>
      <c r="B103" s="426"/>
      <c r="C103" s="426"/>
      <c r="D103" s="426"/>
      <c r="E103" s="426"/>
      <c r="F103" s="426"/>
      <c r="G103" s="426"/>
    </row>
    <row r="104" spans="1:7" s="197" customFormat="1">
      <c r="A104" s="422" t="s">
        <v>164</v>
      </c>
      <c r="B104" s="422"/>
      <c r="C104" s="422"/>
      <c r="D104" s="422"/>
      <c r="E104" s="422"/>
      <c r="F104" s="422"/>
      <c r="G104" s="422"/>
    </row>
    <row r="105" spans="1:7" s="197" customFormat="1">
      <c r="A105" s="422" t="s">
        <v>165</v>
      </c>
      <c r="B105" s="422"/>
      <c r="C105" s="422"/>
      <c r="D105" s="422"/>
      <c r="E105" s="422"/>
      <c r="F105" s="422"/>
      <c r="G105" s="422"/>
    </row>
    <row r="106" spans="1:7" s="197" customFormat="1">
      <c r="A106" s="422" t="s">
        <v>166</v>
      </c>
      <c r="B106" s="422"/>
      <c r="C106" s="422"/>
      <c r="D106" s="422"/>
      <c r="E106" s="422"/>
      <c r="F106" s="422"/>
      <c r="G106" s="422"/>
    </row>
    <row r="107" spans="1:7" s="197" customFormat="1">
      <c r="A107" s="201"/>
      <c r="B107" s="201"/>
      <c r="C107" s="201"/>
      <c r="D107" s="201"/>
      <c r="E107" s="201"/>
      <c r="F107" s="201"/>
      <c r="G107" s="201"/>
    </row>
    <row r="108" spans="1:7" s="197" customFormat="1" ht="19.5">
      <c r="A108" s="413" t="s">
        <v>105</v>
      </c>
      <c r="B108" s="413"/>
      <c r="C108" s="413"/>
      <c r="D108" s="413"/>
      <c r="E108" s="413"/>
      <c r="F108" s="413"/>
      <c r="G108" s="413"/>
    </row>
    <row r="109" spans="1:7" s="197" customFormat="1" ht="18.75">
      <c r="A109" s="420" t="s">
        <v>167</v>
      </c>
      <c r="B109" s="420"/>
      <c r="C109" s="420"/>
      <c r="D109" s="420"/>
      <c r="E109" s="420"/>
      <c r="F109" s="420"/>
      <c r="G109" s="420"/>
    </row>
    <row r="110" spans="1:7" s="197" customFormat="1" ht="18.75">
      <c r="A110" s="421" t="s">
        <v>168</v>
      </c>
      <c r="B110" s="421"/>
      <c r="C110" s="421"/>
      <c r="D110" s="421"/>
      <c r="E110" s="421"/>
      <c r="F110" s="421"/>
      <c r="G110" s="421"/>
    </row>
    <row r="111" spans="1:7" s="197" customFormat="1">
      <c r="A111" s="423" t="s">
        <v>169</v>
      </c>
      <c r="B111" s="423"/>
      <c r="C111" s="423"/>
      <c r="D111" s="423"/>
      <c r="E111" s="423"/>
      <c r="F111" s="423"/>
      <c r="G111" s="423"/>
    </row>
    <row r="112" spans="1:7" s="197" customFormat="1" ht="18.75">
      <c r="A112" s="421" t="s">
        <v>170</v>
      </c>
      <c r="B112" s="421"/>
      <c r="C112" s="421"/>
      <c r="D112" s="421"/>
      <c r="E112" s="421"/>
      <c r="F112" s="421"/>
      <c r="G112" s="421"/>
    </row>
    <row r="113" spans="1:7" s="197" customFormat="1" ht="18.75">
      <c r="A113" s="420" t="s">
        <v>337</v>
      </c>
      <c r="B113" s="420"/>
      <c r="C113" s="420"/>
      <c r="D113" s="420"/>
      <c r="E113" s="420"/>
      <c r="F113" s="420"/>
      <c r="G113" s="420"/>
    </row>
    <row r="114" spans="1:7" s="197" customFormat="1" ht="19.5">
      <c r="A114" s="421" t="s">
        <v>183</v>
      </c>
      <c r="B114" s="421"/>
      <c r="C114" s="421"/>
      <c r="D114" s="421"/>
      <c r="E114" s="421"/>
      <c r="F114" s="421"/>
      <c r="G114" s="421"/>
    </row>
    <row r="115" spans="1:7" s="197" customFormat="1">
      <c r="A115" s="423" t="s">
        <v>152</v>
      </c>
      <c r="B115" s="423"/>
      <c r="C115" s="423"/>
      <c r="D115" s="423"/>
      <c r="E115" s="423"/>
      <c r="F115" s="423"/>
      <c r="G115" s="423"/>
    </row>
    <row r="116" spans="1:7" s="197" customFormat="1" ht="18.75">
      <c r="A116" s="425" t="s">
        <v>153</v>
      </c>
      <c r="B116" s="425"/>
      <c r="C116" s="425"/>
      <c r="D116" s="425"/>
      <c r="E116" s="425"/>
      <c r="F116" s="425"/>
      <c r="G116" s="425"/>
    </row>
    <row r="117" spans="1:7" s="197" customFormat="1">
      <c r="A117" s="424" t="s">
        <v>154</v>
      </c>
      <c r="B117" s="424"/>
      <c r="C117" s="424"/>
      <c r="D117" s="424"/>
      <c r="E117" s="424"/>
      <c r="F117" s="424"/>
      <c r="G117" s="424"/>
    </row>
    <row r="118" spans="1:7" s="197" customFormat="1" ht="18.75">
      <c r="A118" s="421" t="s">
        <v>155</v>
      </c>
      <c r="B118" s="421"/>
      <c r="C118" s="421"/>
      <c r="D118" s="421"/>
      <c r="E118" s="421"/>
      <c r="F118" s="421"/>
      <c r="G118" s="421"/>
    </row>
    <row r="119" spans="1:7" s="197" customFormat="1" ht="18.75">
      <c r="A119" s="199"/>
      <c r="B119" s="199"/>
      <c r="C119" s="199"/>
      <c r="D119" s="199"/>
      <c r="E119" s="199"/>
      <c r="F119" s="199"/>
      <c r="G119" s="199"/>
    </row>
    <row r="120" spans="1:7" s="197" customFormat="1" ht="19.5">
      <c r="A120" s="413" t="s">
        <v>265</v>
      </c>
      <c r="B120" s="413"/>
      <c r="C120" s="413"/>
      <c r="D120" s="413"/>
      <c r="E120" s="413"/>
      <c r="F120" s="413"/>
      <c r="G120" s="413"/>
    </row>
    <row r="121" spans="1:7" s="197" customFormat="1" ht="18.75">
      <c r="A121" s="420" t="s">
        <v>171</v>
      </c>
      <c r="B121" s="420"/>
      <c r="C121" s="420"/>
      <c r="D121" s="420"/>
      <c r="E121" s="420"/>
      <c r="F121" s="420"/>
      <c r="G121" s="420"/>
    </row>
    <row r="122" spans="1:7" s="197" customFormat="1" ht="18.75">
      <c r="A122" s="421" t="s">
        <v>172</v>
      </c>
      <c r="B122" s="421"/>
      <c r="C122" s="421"/>
      <c r="D122" s="421"/>
      <c r="E122" s="421"/>
      <c r="F122" s="421"/>
      <c r="G122" s="421"/>
    </row>
    <row r="123" spans="1:7" s="197" customFormat="1" ht="18.75">
      <c r="A123" s="421" t="s">
        <v>133</v>
      </c>
      <c r="B123" s="421"/>
      <c r="C123" s="421"/>
      <c r="D123" s="421"/>
      <c r="E123" s="421"/>
      <c r="F123" s="421"/>
      <c r="G123" s="421"/>
    </row>
    <row r="124" spans="1:7" s="197" customFormat="1" ht="18.75">
      <c r="A124" s="199"/>
      <c r="B124" s="199"/>
      <c r="C124" s="199"/>
      <c r="D124" s="199"/>
      <c r="E124" s="199"/>
      <c r="F124" s="199"/>
      <c r="G124" s="199"/>
    </row>
    <row r="125" spans="1:7" s="197" customFormat="1" ht="19.5">
      <c r="A125" s="413" t="s">
        <v>266</v>
      </c>
      <c r="B125" s="413"/>
      <c r="C125" s="413"/>
      <c r="D125" s="413"/>
      <c r="E125" s="413"/>
      <c r="F125" s="413"/>
      <c r="G125" s="413"/>
    </row>
    <row r="126" spans="1:7" s="197" customFormat="1" ht="24">
      <c r="A126" s="421" t="s">
        <v>173</v>
      </c>
      <c r="B126" s="421"/>
      <c r="C126" s="421"/>
      <c r="D126" s="421"/>
      <c r="E126" s="421"/>
      <c r="F126" s="421"/>
      <c r="G126" s="421"/>
    </row>
    <row r="127" spans="1:7" s="197" customFormat="1" ht="18.75">
      <c r="A127" s="421" t="s">
        <v>174</v>
      </c>
      <c r="B127" s="421"/>
      <c r="C127" s="421"/>
      <c r="D127" s="421"/>
      <c r="E127" s="421"/>
      <c r="F127" s="421"/>
      <c r="G127" s="421"/>
    </row>
    <row r="128" spans="1:7" s="197" customFormat="1" ht="24">
      <c r="A128" s="421" t="s">
        <v>175</v>
      </c>
      <c r="B128" s="421"/>
      <c r="C128" s="421"/>
      <c r="D128" s="421"/>
      <c r="E128" s="421"/>
      <c r="F128" s="421"/>
      <c r="G128" s="421"/>
    </row>
    <row r="129" spans="1:7" s="197" customFormat="1" ht="24">
      <c r="A129" s="421" t="s">
        <v>176</v>
      </c>
      <c r="B129" s="421"/>
      <c r="C129" s="421"/>
      <c r="D129" s="421"/>
      <c r="E129" s="421"/>
      <c r="F129" s="421"/>
      <c r="G129" s="421"/>
    </row>
  </sheetData>
  <mergeCells count="101">
    <mergeCell ref="A1:G1"/>
    <mergeCell ref="A3:G3"/>
    <mergeCell ref="A2:G2"/>
    <mergeCell ref="A4:F4"/>
    <mergeCell ref="A7:F7"/>
    <mergeCell ref="A6:G6"/>
    <mergeCell ref="E12:E14"/>
    <mergeCell ref="A17:A24"/>
    <mergeCell ref="E20:E21"/>
    <mergeCell ref="A26:F26"/>
    <mergeCell ref="B9:C9"/>
    <mergeCell ref="A10:A11"/>
    <mergeCell ref="B10:C11"/>
    <mergeCell ref="E17:E18"/>
    <mergeCell ref="B15:B16"/>
    <mergeCell ref="C17:C22"/>
    <mergeCell ref="B17:B24"/>
    <mergeCell ref="A29:G29"/>
    <mergeCell ref="A28:G28"/>
    <mergeCell ref="A39:G39"/>
    <mergeCell ref="A38:G38"/>
    <mergeCell ref="A37:G37"/>
    <mergeCell ref="A36:G36"/>
    <mergeCell ref="A34:G34"/>
    <mergeCell ref="A32:G32"/>
    <mergeCell ref="A30:G30"/>
    <mergeCell ref="A43:G43"/>
    <mergeCell ref="A42:G42"/>
    <mergeCell ref="A60:G60"/>
    <mergeCell ref="A59:G59"/>
    <mergeCell ref="A58:G58"/>
    <mergeCell ref="A57:G57"/>
    <mergeCell ref="A65:G65"/>
    <mergeCell ref="A63:G63"/>
    <mergeCell ref="A40:G40"/>
    <mergeCell ref="A53:G53"/>
    <mergeCell ref="A55:G55"/>
    <mergeCell ref="A56:G56"/>
    <mergeCell ref="A51:G51"/>
    <mergeCell ref="A50:G50"/>
    <mergeCell ref="A49:G49"/>
    <mergeCell ref="A47:G47"/>
    <mergeCell ref="A46:G46"/>
    <mergeCell ref="A45:G45"/>
    <mergeCell ref="A66:G66"/>
    <mergeCell ref="A77:G77"/>
    <mergeCell ref="A76:G76"/>
    <mergeCell ref="A75:G75"/>
    <mergeCell ref="A74:G74"/>
    <mergeCell ref="A73:G73"/>
    <mergeCell ref="A62:G62"/>
    <mergeCell ref="A61:G61"/>
    <mergeCell ref="A71:G71"/>
    <mergeCell ref="A118:G118"/>
    <mergeCell ref="A117:G117"/>
    <mergeCell ref="A116:G116"/>
    <mergeCell ref="A115:G115"/>
    <mergeCell ref="A114:G114"/>
    <mergeCell ref="A72:G72"/>
    <mergeCell ref="A69:G69"/>
    <mergeCell ref="A68:G68"/>
    <mergeCell ref="A67:G67"/>
    <mergeCell ref="A92:G92"/>
    <mergeCell ref="A105:G105"/>
    <mergeCell ref="A104:G104"/>
    <mergeCell ref="A103:G103"/>
    <mergeCell ref="A101:G101"/>
    <mergeCell ref="A99:G99"/>
    <mergeCell ref="A78:G78"/>
    <mergeCell ref="A83:G83"/>
    <mergeCell ref="A82:G82"/>
    <mergeCell ref="A80:G80"/>
    <mergeCell ref="A79:G79"/>
    <mergeCell ref="A88:G88"/>
    <mergeCell ref="A85:G85"/>
    <mergeCell ref="A84:G84"/>
    <mergeCell ref="A87:G87"/>
    <mergeCell ref="A108:G108"/>
    <mergeCell ref="F10:F16"/>
    <mergeCell ref="F17:F23"/>
    <mergeCell ref="A113:G113"/>
    <mergeCell ref="A91:G91"/>
    <mergeCell ref="A89:G89"/>
    <mergeCell ref="A106:G106"/>
    <mergeCell ref="A120:G120"/>
    <mergeCell ref="A129:G129"/>
    <mergeCell ref="A128:G128"/>
    <mergeCell ref="A127:G127"/>
    <mergeCell ref="A126:G126"/>
    <mergeCell ref="A125:G125"/>
    <mergeCell ref="A123:G123"/>
    <mergeCell ref="A122:G122"/>
    <mergeCell ref="A121:G121"/>
    <mergeCell ref="A112:G112"/>
    <mergeCell ref="A111:G111"/>
    <mergeCell ref="A110:G110"/>
    <mergeCell ref="A109:G109"/>
    <mergeCell ref="A98:G98"/>
    <mergeCell ref="A97:G97"/>
    <mergeCell ref="A96:G96"/>
    <mergeCell ref="A93:G9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68C1D-9132-45FA-A0F7-1B0F36057CE7}">
  <sheetPr>
    <tabColor theme="7" tint="-0.249977111117893"/>
  </sheetPr>
  <dimension ref="C29:C36"/>
  <sheetViews>
    <sheetView showGridLines="0" zoomScale="90" zoomScaleNormal="90" workbookViewId="0">
      <selection activeCell="R31" sqref="R31"/>
    </sheetView>
  </sheetViews>
  <sheetFormatPr defaultRowHeight="16.5"/>
  <cols>
    <col min="1" max="2" width="2.75" customWidth="1"/>
  </cols>
  <sheetData>
    <row r="29" spans="3:3" ht="20.25">
      <c r="C29" s="277" t="s">
        <v>345</v>
      </c>
    </row>
    <row r="30" spans="3:3" ht="20.25">
      <c r="C30" s="277" t="s">
        <v>346</v>
      </c>
    </row>
    <row r="31" spans="3:3" ht="20.25">
      <c r="C31" s="277" t="s">
        <v>347</v>
      </c>
    </row>
    <row r="32" spans="3:3" ht="20.25">
      <c r="C32" s="277" t="s">
        <v>348</v>
      </c>
    </row>
    <row r="33" spans="3:3" ht="20.25">
      <c r="C33" s="277" t="s">
        <v>349</v>
      </c>
    </row>
    <row r="34" spans="3:3" ht="20.25">
      <c r="C34" s="277" t="s">
        <v>350</v>
      </c>
    </row>
    <row r="35" spans="3:3" ht="20.25">
      <c r="C35" s="277" t="s">
        <v>351</v>
      </c>
    </row>
    <row r="36" spans="3:3" ht="20.25">
      <c r="C36" s="277" t="s">
        <v>352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13</vt:i4>
      </vt:variant>
    </vt:vector>
  </HeadingPairs>
  <TitlesOfParts>
    <vt:vector size="24" baseType="lpstr">
      <vt:lpstr>드롭다운목록</vt:lpstr>
      <vt:lpstr>사업비 사용실적 명세서</vt:lpstr>
      <vt:lpstr>직접비-역량강화지원금</vt:lpstr>
      <vt:lpstr>참여청년현황</vt:lpstr>
      <vt:lpstr>간접비-보수</vt:lpstr>
      <vt:lpstr>간접비-일반운영비</vt:lpstr>
      <vt:lpstr>간접비-여비</vt:lpstr>
      <vt:lpstr>간접비-업무추진비</vt:lpstr>
      <vt:lpstr>간접비-기타직보수</vt:lpstr>
      <vt:lpstr>참고)비목별 세부집행기준</vt:lpstr>
      <vt:lpstr>증빙폴더 작성 방법</vt:lpstr>
      <vt:lpstr>'간접비-기타직보수'!Print_Area</vt:lpstr>
      <vt:lpstr>'간접비-보수'!Print_Area</vt:lpstr>
      <vt:lpstr>'간접비-업무추진비'!Print_Area</vt:lpstr>
      <vt:lpstr>'간접비-여비'!Print_Area</vt:lpstr>
      <vt:lpstr>'간접비-일반운영비'!Print_Area</vt:lpstr>
      <vt:lpstr>'사업비 사용실적 명세서'!Print_Area</vt:lpstr>
      <vt:lpstr>'직접비-역량강화지원금'!Print_Area</vt:lpstr>
      <vt:lpstr>'간접비-기타직보수'!Print_Titles</vt:lpstr>
      <vt:lpstr>'간접비-보수'!Print_Titles</vt:lpstr>
      <vt:lpstr>'간접비-업무추진비'!Print_Titles</vt:lpstr>
      <vt:lpstr>'간접비-여비'!Print_Titles</vt:lpstr>
      <vt:lpstr>'간접비-일반운영비'!Print_Titles</vt:lpstr>
      <vt:lpstr>'직접비-역량강화지원금'!Print_Titles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TAESU LEE</dc:creator>
  <cp:lastModifiedBy>청년재단</cp:lastModifiedBy>
  <cp:lastPrinted>2024-06-27T05:18:55Z</cp:lastPrinted>
  <dcterms:created xsi:type="dcterms:W3CDTF">2015-04-16T04:02:15Z</dcterms:created>
  <dcterms:modified xsi:type="dcterms:W3CDTF">2025-12-02T05:40:19Z</dcterms:modified>
</cp:coreProperties>
</file>